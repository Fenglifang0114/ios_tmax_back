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415" windowHeight="11175"/>
  </bookViews>
  <sheets>
    <sheet name="Sheet1" sheetId="1" r:id="rId1"/>
  </sheets>
  <definedNames>
    <definedName name="_xlnm._FilterDatabase" localSheetId="0" hidden="1">Sheet1!$A$1:$Q$174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<sst xmlns="http://schemas.openxmlformats.org/spreadsheetml/2006/main" count="1068" uniqueCount="524">
  <si>
    <t>EEPROM定义_V1.0_20231027</t>
  </si>
  <si>
    <t>页</t>
  </si>
  <si>
    <t>区域</t>
  </si>
  <si>
    <t>区域空间</t>
  </si>
  <si>
    <t>data</t>
  </si>
  <si>
    <t>field name</t>
  </si>
  <si>
    <t>size</t>
  </si>
  <si>
    <t>HEX address</t>
  </si>
  <si>
    <t>comments</t>
  </si>
  <si>
    <t>address</t>
  </si>
  <si>
    <t>type</t>
  </si>
  <si>
    <t>Permissions</t>
  </si>
  <si>
    <t>Values</t>
  </si>
  <si>
    <t>description</t>
  </si>
  <si>
    <t>备注</t>
  </si>
  <si>
    <t>第一页</t>
  </si>
  <si>
    <t>1磅台</t>
  </si>
  <si>
    <t>标定点数量</t>
  </si>
  <si>
    <t>M_CAL_COUNT</t>
  </si>
  <si>
    <t>0x</t>
  </si>
  <si>
    <t>/*标定点数量*/</t>
  </si>
  <si>
    <t>int</t>
  </si>
  <si>
    <t>3,6</t>
  </si>
  <si>
    <t>权限0：不可操作，1：可读，2：可读可写</t>
  </si>
  <si>
    <t>零点内码</t>
  </si>
  <si>
    <t>M_CAL_0</t>
  </si>
  <si>
    <t>/*零点内码*/</t>
  </si>
  <si>
    <t>标定点1</t>
  </si>
  <si>
    <t>M_CAL_1</t>
  </si>
  <si>
    <t>/*标定点1*/</t>
  </si>
  <si>
    <t>标定点2</t>
  </si>
  <si>
    <t>M_CAL_2</t>
  </si>
  <si>
    <t>/*标定点2*/</t>
  </si>
  <si>
    <t>标定点3</t>
  </si>
  <si>
    <t>M_CAL_3</t>
  </si>
  <si>
    <t>/*标定点3*/</t>
  </si>
  <si>
    <t>标定点4</t>
  </si>
  <si>
    <t>M_CAL_4</t>
  </si>
  <si>
    <t>/*标定点4*/</t>
  </si>
  <si>
    <t>标定点5</t>
  </si>
  <si>
    <t>M_CAL_5</t>
  </si>
  <si>
    <t>/*标定点5*/</t>
  </si>
  <si>
    <t>标定点6</t>
  </si>
  <si>
    <t>M_CAL_6</t>
  </si>
  <si>
    <t>/*标定点6*/</t>
  </si>
  <si>
    <t>回程零点内码</t>
  </si>
  <si>
    <t>M_BACK_CAL_0</t>
  </si>
  <si>
    <t>/*回程零点内码*/</t>
  </si>
  <si>
    <t>回程标定点1</t>
  </si>
  <si>
    <t>M_BACK_CAL_1</t>
  </si>
  <si>
    <t>/*回程标定点1*/</t>
  </si>
  <si>
    <t>回程标定点2</t>
  </si>
  <si>
    <t>M_BACK_CAL_2</t>
  </si>
  <si>
    <t>/*回程标定点2*/</t>
  </si>
  <si>
    <t>回程标定点3</t>
  </si>
  <si>
    <t>M_BACK_CAL_3</t>
  </si>
  <si>
    <t>/*回程标定点3*/</t>
  </si>
  <si>
    <t>回程标定点4</t>
  </si>
  <si>
    <t>M_BACK_CAL_4</t>
  </si>
  <si>
    <t>/*回程标定点4*/</t>
  </si>
  <si>
    <t>回程标定点5</t>
  </si>
  <si>
    <t>M_BACK_CAL_5</t>
  </si>
  <si>
    <t>/*回程标定点5*/</t>
  </si>
  <si>
    <t>回程标定点6</t>
  </si>
  <si>
    <t>M_BACK_CAL_6</t>
  </si>
  <si>
    <t>/*回程标定点6*/</t>
  </si>
  <si>
    <t>内置砝码内码差</t>
  </si>
  <si>
    <t>M_INCAL_DIFF</t>
  </si>
  <si>
    <t>/*内置砝码内码差*/</t>
  </si>
  <si>
    <t>量程1</t>
  </si>
  <si>
    <t>M_CAPACITY_1</t>
  </si>
  <si>
    <t>/*量程1*/</t>
  </si>
  <si>
    <t>double</t>
  </si>
  <si>
    <t>5,10</t>
  </si>
  <si>
    <t>其单位参照主单位</t>
  </si>
  <si>
    <t>量程2</t>
  </si>
  <si>
    <t>M_CAPACITY_2</t>
  </si>
  <si>
    <t>/*量程2*/</t>
  </si>
  <si>
    <t>6,30</t>
  </si>
  <si>
    <t>分度值1</t>
  </si>
  <si>
    <t>M_RESOLATION_1</t>
  </si>
  <si>
    <t>/*分度值1*/</t>
  </si>
  <si>
    <t>1,2,5</t>
  </si>
  <si>
    <t xml:space="preserve">Value：1, 2, 5 ,10 </t>
  </si>
  <si>
    <t>分度值2</t>
  </si>
  <si>
    <t>M_RESOLATION_2</t>
  </si>
  <si>
    <r>
      <rPr>
        <sz val="12"/>
        <color theme="1"/>
        <rFont val="微软雅黑"/>
        <charset val="134"/>
      </rPr>
      <t>/*分度值</t>
    </r>
    <r>
      <rPr>
        <sz val="12"/>
        <color theme="1"/>
        <rFont val="微软雅黑"/>
        <charset val="134"/>
      </rPr>
      <t>2</t>
    </r>
    <r>
      <rPr>
        <sz val="12"/>
        <color theme="1"/>
        <rFont val="微软雅黑"/>
        <charset val="134"/>
      </rPr>
      <t>*/</t>
    </r>
  </si>
  <si>
    <t>默认单位</t>
  </si>
  <si>
    <t>M_DEF_UNIT</t>
  </si>
  <si>
    <t>/*默认单位*/</t>
  </si>
  <si>
    <t>0,1,2</t>
  </si>
  <si>
    <t>存储上次关机单位的编号</t>
  </si>
  <si>
    <t>主单位</t>
  </si>
  <si>
    <t>M_MAIN_UNIT</t>
  </si>
  <si>
    <t>/*主单位*/</t>
  </si>
  <si>
    <t>主单位0:g，1:kg</t>
  </si>
  <si>
    <t>单位kg</t>
  </si>
  <si>
    <t>M_U_KG</t>
  </si>
  <si>
    <t>/*单位kg  */</t>
  </si>
  <si>
    <t>0.OFF，1.ON</t>
  </si>
  <si>
    <t>单位g</t>
  </si>
  <si>
    <t>M_U_G</t>
  </si>
  <si>
    <t>/*单位g  */</t>
  </si>
  <si>
    <t>单位ct</t>
  </si>
  <si>
    <t>M_U_CT</t>
  </si>
  <si>
    <t>/*单位ct */</t>
  </si>
  <si>
    <t>单位lb</t>
  </si>
  <si>
    <t>M_U_LB</t>
  </si>
  <si>
    <t>/*单位lb */</t>
  </si>
  <si>
    <t>单位oz</t>
  </si>
  <si>
    <t>M_U_OZ</t>
  </si>
  <si>
    <t>/*单位oz */</t>
  </si>
  <si>
    <t>单位d</t>
  </si>
  <si>
    <t>M_U_D</t>
  </si>
  <si>
    <t>/*单位d  */</t>
  </si>
  <si>
    <t>单位gn</t>
  </si>
  <si>
    <t>M_U_GN</t>
  </si>
  <si>
    <t>/*单位gn */</t>
  </si>
  <si>
    <t>单位ozt</t>
  </si>
  <si>
    <t>M_U_OZT</t>
  </si>
  <si>
    <t>/*单位ozt*/</t>
  </si>
  <si>
    <t>单位dwt</t>
  </si>
  <si>
    <t>M_U_DWT</t>
  </si>
  <si>
    <t>/*单位dwt*/</t>
  </si>
  <si>
    <t>单位mom</t>
  </si>
  <si>
    <t>M_U_MOM</t>
  </si>
  <si>
    <t>/*单位mom*/</t>
  </si>
  <si>
    <t>单位tlt</t>
  </si>
  <si>
    <t>M_U_TLT</t>
  </si>
  <si>
    <t>/*单位tlt*/</t>
  </si>
  <si>
    <t>单位tlh</t>
  </si>
  <si>
    <t>M_U_TLH</t>
  </si>
  <si>
    <t>/*单位tlh*/</t>
  </si>
  <si>
    <t>单位tlj</t>
  </si>
  <si>
    <t>M_U_TLJ</t>
  </si>
  <si>
    <t>/*单位tlj*/</t>
  </si>
  <si>
    <t>单位t</t>
  </si>
  <si>
    <t>M_U_T</t>
  </si>
  <si>
    <t>/*单位t  */</t>
  </si>
  <si>
    <t>单位bt</t>
  </si>
  <si>
    <t>M_U_BT</t>
  </si>
  <si>
    <t>/*单位bt */</t>
  </si>
  <si>
    <t>单位n</t>
  </si>
  <si>
    <t>M_U_N</t>
  </si>
  <si>
    <t>/*单位n  */</t>
  </si>
  <si>
    <r>
      <rPr>
        <sz val="14"/>
        <color theme="1"/>
        <rFont val="微软雅黑"/>
        <charset val="134"/>
      </rPr>
      <t>单位L</t>
    </r>
    <r>
      <rPr>
        <sz val="14"/>
        <color theme="1"/>
        <rFont val="微软雅黑"/>
        <charset val="134"/>
      </rPr>
      <t>BOZ</t>
    </r>
  </si>
  <si>
    <t>M_U_LBOZ</t>
  </si>
  <si>
    <r>
      <rPr>
        <sz val="12"/>
        <color theme="1"/>
        <rFont val="微软雅黑"/>
        <charset val="134"/>
      </rPr>
      <t>/*单位</t>
    </r>
    <r>
      <rPr>
        <sz val="12"/>
        <color theme="1"/>
        <rFont val="微软雅黑"/>
        <charset val="134"/>
      </rPr>
      <t>LBOZ</t>
    </r>
    <r>
      <rPr>
        <sz val="12"/>
        <color theme="1"/>
        <rFont val="微软雅黑"/>
        <charset val="134"/>
      </rPr>
      <t xml:space="preserve">  */</t>
    </r>
  </si>
  <si>
    <t>单位台斤</t>
  </si>
  <si>
    <t>M_U_TJ</t>
  </si>
  <si>
    <t>/*单位TJ  */</t>
  </si>
  <si>
    <t>单位港斤</t>
  </si>
  <si>
    <t>M_U_HJ</t>
  </si>
  <si>
    <t>/*单位HJ  */</t>
  </si>
  <si>
    <t>单位吨</t>
  </si>
  <si>
    <t>M_U_TON</t>
  </si>
  <si>
    <t>/*单位吨  */</t>
  </si>
  <si>
    <t>主单位小数点</t>
  </si>
  <si>
    <t>M_DECI_DOT</t>
  </si>
  <si>
    <t>/*主单位小数点*/</t>
  </si>
  <si>
    <t>零点追踪</t>
  </si>
  <si>
    <t>M_ZERO_TRACE</t>
  </si>
  <si>
    <t>/*零点追踪*/</t>
  </si>
  <si>
    <t>称重速度</t>
  </si>
  <si>
    <t>M_SCALE_SPEED</t>
  </si>
  <si>
    <t>/*称重速度*/</t>
  </si>
  <si>
    <t>标定点温度内码</t>
  </si>
  <si>
    <t>M_TEMP_ENCODE</t>
  </si>
  <si>
    <t>/*标定点温度内码*/</t>
  </si>
  <si>
    <t>单、双量程模式</t>
  </si>
  <si>
    <t>M_RES_MODE</t>
  </si>
  <si>
    <t>/*单、双量程、精度模式*/</t>
  </si>
  <si>
    <t>//预留</t>
  </si>
  <si>
    <t>出厂参数</t>
  </si>
  <si>
    <t>出厂状态</t>
  </si>
  <si>
    <t>M_FACTORY_STATE</t>
  </si>
  <si>
    <t>/*出厂状态*/</t>
  </si>
  <si>
    <t>出厂序号</t>
  </si>
  <si>
    <t>M_SN</t>
  </si>
  <si>
    <t>/*出厂序号*/</t>
  </si>
  <si>
    <t>string</t>
  </si>
  <si>
    <t>默认参数标志</t>
  </si>
  <si>
    <t>M_DEF_PARAM</t>
  </si>
  <si>
    <t>/*默认参数标志*/</t>
  </si>
  <si>
    <t>年</t>
  </si>
  <si>
    <t>M_YEAR</t>
  </si>
  <si>
    <t>/*年*/</t>
  </si>
  <si>
    <t>月</t>
  </si>
  <si>
    <t>M_MONTH</t>
  </si>
  <si>
    <t>/*月*/</t>
  </si>
  <si>
    <t>日</t>
  </si>
  <si>
    <t>M_DAY</t>
  </si>
  <si>
    <t>/*日*/</t>
  </si>
  <si>
    <t>时</t>
  </si>
  <si>
    <t>M_HOUR</t>
  </si>
  <si>
    <t>/*时*/</t>
  </si>
  <si>
    <t>分</t>
  </si>
  <si>
    <t>M_MINUTE</t>
  </si>
  <si>
    <t>/*分*/</t>
  </si>
  <si>
    <t>标定重力</t>
  </si>
  <si>
    <t>M_CAL_GRAVITY</t>
  </si>
  <si>
    <t>/*标定重力*/</t>
  </si>
  <si>
    <t>当地重力</t>
  </si>
  <si>
    <t>M_LOCAL_GRAVITY</t>
  </si>
  <si>
    <t>/*当地重力*/</t>
  </si>
  <si>
    <t>使用砝码校正</t>
  </si>
  <si>
    <t>M_CAL_RATIO</t>
  </si>
  <si>
    <t>/*使用砝码校正*/</t>
  </si>
  <si>
    <t>自动关机</t>
  </si>
  <si>
    <t>M_AUTO_OFF</t>
  </si>
  <si>
    <t>/*自动关机*/</t>
  </si>
  <si>
    <t>自动背光</t>
  </si>
  <si>
    <t>M_AUTO_BL</t>
  </si>
  <si>
    <t>/*自动背光*/</t>
  </si>
  <si>
    <t>bit 7:2 背光时间bit 0:打开，1：关闭</t>
  </si>
  <si>
    <t>累加开关</t>
  </si>
  <si>
    <t>M_ACC_SW</t>
  </si>
  <si>
    <t>/*累加开关*/</t>
  </si>
  <si>
    <t>按键蜂鸣器开关</t>
  </si>
  <si>
    <t>M_KEY_BUZZER</t>
  </si>
  <si>
    <t>/*蜂鸣器*/</t>
  </si>
  <si>
    <t>上下限蜂鸣器开关</t>
  </si>
  <si>
    <t>M_ALARM_BUZZER</t>
  </si>
  <si>
    <t>/*上下限蜂鸣器开关*/</t>
  </si>
  <si>
    <t>报错蜂鸣器开关</t>
  </si>
  <si>
    <t>M_ERROR_BUZZER</t>
  </si>
  <si>
    <t>/*报错蜂鸣器开关*/</t>
  </si>
  <si>
    <t>自动背光时间</t>
  </si>
  <si>
    <t>M_BL_AUTO_TIME</t>
  </si>
  <si>
    <t>/*自动背光时间*/</t>
  </si>
  <si>
    <t>多次扣重</t>
  </si>
  <si>
    <t>M_MULTARE</t>
  </si>
  <si>
    <t>/*多次扣重开关*/</t>
  </si>
  <si>
    <t>称重类型(计价/计重)</t>
  </si>
  <si>
    <t>M_WEIGHT_TYPE</t>
  </si>
  <si>
    <t>/*称重类型(计价/计重)*/</t>
  </si>
  <si>
    <t>称重模式</t>
  </si>
  <si>
    <t>M_WEIGHT_MODE</t>
  </si>
  <si>
    <t>/*称重模式*/</t>
  </si>
  <si>
    <t>检重模式</t>
  </si>
  <si>
    <t>M_CHECK_MODE</t>
  </si>
  <si>
    <t>/*检重模式*/</t>
  </si>
  <si>
    <t>电流环模式(电流/电压)</t>
  </si>
  <si>
    <t>M_LOOP_MODE</t>
  </si>
  <si>
    <t>/*电流环模式(电流/电压)*/</t>
  </si>
  <si>
    <t>乘10开关</t>
  </si>
  <si>
    <t>M_X10_SWITCH</t>
  </si>
  <si>
    <t>/*乘10开关*/</t>
  </si>
  <si>
    <t>日期格式</t>
  </si>
  <si>
    <t>M_DATA_TYPE</t>
  </si>
  <si>
    <t>最小称量范围</t>
  </si>
  <si>
    <t>M_MINI_WEIGHT</t>
  </si>
  <si>
    <t>二次打印开关</t>
  </si>
  <si>
    <t>M_DOUBLE_PRINT</t>
  </si>
  <si>
    <t>背光亮度</t>
  </si>
  <si>
    <t>M_SET_BL_BRIGHTNESS</t>
  </si>
  <si>
    <t>结账开关</t>
  </si>
  <si>
    <t>M_PAY_SWITCH</t>
  </si>
  <si>
    <t>内置砝码校准周期</t>
  </si>
  <si>
    <t>M_IN_CAL_PERIOD</t>
  </si>
  <si>
    <t>串口参数</t>
  </si>
  <si>
    <t>RS232输出类型</t>
  </si>
  <si>
    <t>M_RS232_SW</t>
  </si>
  <si>
    <t>/*RS232输出类型*/</t>
  </si>
  <si>
    <t>RS232byte</t>
  </si>
  <si>
    <t>M_RS232_BYTE</t>
  </si>
  <si>
    <t>/*RS232byte*/</t>
  </si>
  <si>
    <t>RS232波特率</t>
  </si>
  <si>
    <t>M_RS232_BAUD</t>
  </si>
  <si>
    <t>/*RS232波特率*/</t>
  </si>
  <si>
    <t>RS232协议</t>
  </si>
  <si>
    <t>M_RS232_PROTOCOL</t>
  </si>
  <si>
    <t>/*RS232协议*/</t>
  </si>
  <si>
    <t>RS232打印机</t>
  </si>
  <si>
    <t>M_RS232_PRINTER</t>
  </si>
  <si>
    <t>/*RS232打印机*/</t>
  </si>
  <si>
    <t>USB开关</t>
  </si>
  <si>
    <t>M_USB_SW</t>
  </si>
  <si>
    <t>/*USB开关*/</t>
  </si>
  <si>
    <t>USBbyte/COM3波特率</t>
  </si>
  <si>
    <t>M_USB_BYTE</t>
  </si>
  <si>
    <t>/*USBbyte*/</t>
  </si>
  <si>
    <t>USB波特率</t>
  </si>
  <si>
    <t>M_USB_BAUD</t>
  </si>
  <si>
    <t>/*USB波特率*/</t>
  </si>
  <si>
    <t>USB协议</t>
  </si>
  <si>
    <t>M_USB_PROTOCOL</t>
  </si>
  <si>
    <t>/*USB协议*/</t>
  </si>
  <si>
    <t>USB打印机</t>
  </si>
  <si>
    <t>M_USB_PRINTER</t>
  </si>
  <si>
    <t>/*USB打印机*/</t>
  </si>
  <si>
    <t>打印语言</t>
  </si>
  <si>
    <t>M_PRINT_LANG</t>
  </si>
  <si>
    <t>/*打印语言*/</t>
  </si>
  <si>
    <t>打印格式（称重打印格式）</t>
  </si>
  <si>
    <t>M_PRINT_FORMAT</t>
  </si>
  <si>
    <t>/*打印格式*/</t>
  </si>
  <si>
    <t>自动累加打印</t>
  </si>
  <si>
    <t>M_ACC_PRINT</t>
  </si>
  <si>
    <t>/*自动累加打印*/</t>
  </si>
  <si>
    <t>RS232停止位</t>
  </si>
  <si>
    <t>M_RS232_STOP</t>
  </si>
  <si>
    <t>/*RS232停止位*/</t>
  </si>
  <si>
    <t>RS232校验位</t>
  </si>
  <si>
    <t>M_RS232_CHECK</t>
  </si>
  <si>
    <t>/*RS232校验位*/</t>
  </si>
  <si>
    <t>以太网IP地址</t>
  </si>
  <si>
    <t>M_NET_IP_ADDRESS</t>
  </si>
  <si>
    <t>/*以太网IP地址*/</t>
  </si>
  <si>
    <t>以太网协议类型</t>
  </si>
  <si>
    <t>M_NET_PROTOCOL</t>
  </si>
  <si>
    <t>/*以太网协议类型*/</t>
  </si>
  <si>
    <t>蓝牙开关</t>
  </si>
  <si>
    <t>M_BT_SW</t>
  </si>
  <si>
    <t>/*蓝牙开关*/</t>
  </si>
  <si>
    <t>蓝牙发送协议</t>
  </si>
  <si>
    <t>M_BT_SEND_TYPE</t>
  </si>
  <si>
    <t>/*蓝牙发送协议*/</t>
  </si>
  <si>
    <t>WiFi开关</t>
  </si>
  <si>
    <t>M_WIFI_POWER</t>
  </si>
  <si>
    <t>/*WiFi开关*/</t>
  </si>
  <si>
    <t>WiFi发送协议</t>
  </si>
  <si>
    <t>M_WIFI_SEND_TYPE</t>
  </si>
  <si>
    <t>/*WiFi发送协议*/</t>
  </si>
  <si>
    <t>%打印格式</t>
  </si>
  <si>
    <t>M_PCT_FORMAT</t>
  </si>
  <si>
    <t>/*%打印格式*/</t>
  </si>
  <si>
    <t>PCS打印格式</t>
  </si>
  <si>
    <t>M_PCS_FORMAT</t>
  </si>
  <si>
    <t>/*PCS打印格式*/</t>
  </si>
  <si>
    <t>累加打印格式</t>
  </si>
  <si>
    <t>M_ACC_FORMAT</t>
  </si>
  <si>
    <t>/*累加打印格式*/</t>
  </si>
  <si>
    <t>com2输入类型</t>
  </si>
  <si>
    <t>M_COM2_OUTPUT_TYPE</t>
  </si>
  <si>
    <t>/*串口2输出类型*/</t>
  </si>
  <si>
    <t>com3输入类型</t>
  </si>
  <si>
    <t>M_COM3_OUTPUT_TYPE</t>
  </si>
  <si>
    <t>/*串口3输出类型*/</t>
  </si>
  <si>
    <t>com2波特率</t>
  </si>
  <si>
    <t>M_COM2_BAUD</t>
  </si>
  <si>
    <t>/*com2波特率*/</t>
  </si>
  <si>
    <t>com3发送类型</t>
  </si>
  <si>
    <t>M_COM3_SEND_TYPE</t>
  </si>
  <si>
    <t>com2发送类型</t>
  </si>
  <si>
    <t>M_COM2_SEND_TYPE</t>
  </si>
  <si>
    <t>网络端口号</t>
  </si>
  <si>
    <t>M_PORT_NUMBER</t>
  </si>
  <si>
    <t>/*网络端口号*/</t>
  </si>
  <si>
    <t>无线外设类型</t>
  </si>
  <si>
    <t>M_WIRELESS_PERIPHERAL_TYPE</t>
  </si>
  <si>
    <t>/*无线外设类型，WiFi/blue*/</t>
  </si>
  <si>
    <t>0.关，1.WiFi，2.blue</t>
  </si>
  <si>
    <t>价格参数</t>
  </si>
  <si>
    <t>税种类（内/外含税）</t>
  </si>
  <si>
    <t>M_TAX_KIND</t>
  </si>
  <si>
    <t>/*税种类（内/外含税）*/</t>
  </si>
  <si>
    <t>税类型(1  2  3)</t>
  </si>
  <si>
    <t>M_TAX_TYPE</t>
  </si>
  <si>
    <t>/*税类型(1  2  3)*/</t>
  </si>
  <si>
    <t>TAX1税值</t>
  </si>
  <si>
    <t>M_TYPE1_TAX_VALUE</t>
  </si>
  <si>
    <t>/*TAX1税值*/</t>
  </si>
  <si>
    <t>TAX2税值</t>
  </si>
  <si>
    <t>M_TYPE2_TAX_VALUE</t>
  </si>
  <si>
    <t>/*TAX2税值*/</t>
  </si>
  <si>
    <t>TAX3税值</t>
  </si>
  <si>
    <t>M_TYPE3_TAX_VALUE</t>
  </si>
  <si>
    <t>/*TAX3税值*/</t>
  </si>
  <si>
    <t>价格小数点</t>
  </si>
  <si>
    <t>M_PDECI_DOT</t>
  </si>
  <si>
    <t>价格分度值</t>
  </si>
  <si>
    <t>M_PRESOLATION</t>
  </si>
  <si>
    <t>小数点模式</t>
  </si>
  <si>
    <t>M_DECI_MODE</t>
  </si>
  <si>
    <t>价格单位</t>
  </si>
  <si>
    <t>M_PRICE_UNIT</t>
  </si>
  <si>
    <t>单价保存</t>
  </si>
  <si>
    <t>M_PRICE_SAVE</t>
  </si>
  <si>
    <t>货币类型</t>
  </si>
  <si>
    <t>M_CURRENCY_TYPE</t>
  </si>
  <si>
    <t>自定义货币名称</t>
  </si>
  <si>
    <t>M_CURRENCY_NAME</t>
  </si>
  <si>
    <t>其他</t>
  </si>
  <si>
    <t>百分比重量基数</t>
  </si>
  <si>
    <t>M_PRECENT_BASE</t>
  </si>
  <si>
    <t>/*百分比重量基数*/</t>
  </si>
  <si>
    <t>单重</t>
  </si>
  <si>
    <t>M_UNIT_WEIHT</t>
  </si>
  <si>
    <t>/*单重*/</t>
  </si>
  <si>
    <t>异常记录</t>
  </si>
  <si>
    <t>M_EXC_RECORD</t>
  </si>
  <si>
    <t>/*异常记录*/</t>
  </si>
  <si>
    <t>标定记录</t>
  </si>
  <si>
    <t>M_CAL_RECORD</t>
  </si>
  <si>
    <t>/*标定记录*/</t>
  </si>
  <si>
    <t>最高位用于判断是否标定</t>
  </si>
  <si>
    <t>内置砝码校准开关</t>
  </si>
  <si>
    <t>MF_IN_LOAD_CAL</t>
  </si>
  <si>
    <t>/*内置砝码校准开关*/</t>
  </si>
  <si>
    <t>Y 开启 其他关闭</t>
  </si>
  <si>
    <t>EEPROM版本号</t>
  </si>
  <si>
    <t>第二页</t>
  </si>
  <si>
    <t>设置PCS上限</t>
  </si>
  <si>
    <t>M_PCS_H_LMT_RANGE</t>
  </si>
  <si>
    <t>/*设置PCS上限*/</t>
  </si>
  <si>
    <t>设置PCS下限</t>
  </si>
  <si>
    <t>M_PCS_L_LMT_RANGE</t>
  </si>
  <si>
    <t>/*设置PCS下限*/</t>
  </si>
  <si>
    <t>外部砝码校准开关</t>
  </si>
  <si>
    <t>MF_EX_LOAD_CAL</t>
  </si>
  <si>
    <t>/*外部砝码校准开关*/</t>
  </si>
  <si>
    <t>温补开关</t>
  </si>
  <si>
    <t>MF_TEMPERATURE</t>
  </si>
  <si>
    <t>/*温补开关*/</t>
  </si>
  <si>
    <t>设置%上限</t>
  </si>
  <si>
    <t>M_PCT_H_LMT_RANGE</t>
  </si>
  <si>
    <t>/*设置%上限*/</t>
  </si>
  <si>
    <t>设置%下限</t>
  </si>
  <si>
    <t>M_PCT_L_LMT_RANGE</t>
  </si>
  <si>
    <t>/*设置%下限*/</t>
  </si>
  <si>
    <t>热机开关</t>
  </si>
  <si>
    <t>MF_WARMUP</t>
  </si>
  <si>
    <t>/*热机开关*/</t>
  </si>
  <si>
    <t>0:关 1:开</t>
  </si>
  <si>
    <t>设置上限</t>
  </si>
  <si>
    <t>M_H_LMT_RANGE</t>
  </si>
  <si>
    <t>/*设置上限*/</t>
  </si>
  <si>
    <t>设置下限</t>
  </si>
  <si>
    <t>M_L_LMT_RANGE</t>
  </si>
  <si>
    <t>/*设置下限*/</t>
  </si>
  <si>
    <t>菜单闪烁开关</t>
  </si>
  <si>
    <t>M_FLICKER_SWITCH</t>
  </si>
  <si>
    <t>客户菜单地址</t>
  </si>
  <si>
    <t>ACC_OK开关</t>
  </si>
  <si>
    <t>M_ACC_OK_SW</t>
  </si>
  <si>
    <t>/*ACC_OK开关*/</t>
  </si>
  <si>
    <t>JWP</t>
  </si>
  <si>
    <t>累加笔数</t>
  </si>
  <si>
    <t>M_PACKAGE_NUM</t>
  </si>
  <si>
    <t>/*累加笔数*/</t>
  </si>
  <si>
    <t>不稳定扣重开关</t>
  </si>
  <si>
    <t>M_NOSTABLE_TARE</t>
  </si>
  <si>
    <t>/*不稳定扣重开关*/</t>
  </si>
  <si>
    <t>高精度小天平（非认证版）</t>
  </si>
  <si>
    <t>不稳定扣重等待时间</t>
  </si>
  <si>
    <t>M_NOSTABLE_TARE_TIME</t>
  </si>
  <si>
    <t>/*不稳定扣重等待时间*/</t>
  </si>
  <si>
    <t>机型名</t>
  </si>
  <si>
    <t xml:space="preserve">M_BRANCH_NAME </t>
  </si>
  <si>
    <t>/*机型名*/</t>
  </si>
  <si>
    <t>Model name</t>
  </si>
  <si>
    <t>（输入的机型名，供打印使用）</t>
  </si>
  <si>
    <t>秤名</t>
  </si>
  <si>
    <t xml:space="preserve">M_SCALE_NAME </t>
  </si>
  <si>
    <t>/*秤名*/</t>
  </si>
  <si>
    <t>Scale name</t>
  </si>
  <si>
    <t>（输入的秤名，仅供打印使用）</t>
  </si>
  <si>
    <t>手动选税开关</t>
  </si>
  <si>
    <t xml:space="preserve">M_TAX_USER </t>
  </si>
  <si>
    <t>/*手动选税开关*/</t>
  </si>
  <si>
    <t>查看报表开关</t>
  </si>
  <si>
    <t>M_CHECK_PORT_SWITCH</t>
  </si>
  <si>
    <t>/*查看报表开关*/</t>
  </si>
  <si>
    <t>V1copy报表打印开始笔数</t>
  </si>
  <si>
    <t>M_V1_REPORT_START_NUM</t>
  </si>
  <si>
    <t>/*V1copy报表打印开始笔数*/</t>
  </si>
  <si>
    <t>V1copy报表打印笔数</t>
  </si>
  <si>
    <t>M_V1_REPORT_NUMBER</t>
  </si>
  <si>
    <t>/*V1copy报表打印笔数*/</t>
  </si>
  <si>
    <t>V1copy打印次数</t>
  </si>
  <si>
    <t>M_V1_COPY_NUMBER</t>
  </si>
  <si>
    <t>/*V1copy打印次数*/</t>
  </si>
  <si>
    <t>V2copy打印开始笔数</t>
  </si>
  <si>
    <t>M_V2_REPORT_START_NUM</t>
  </si>
  <si>
    <t>/*V2copy打印开始笔数*/</t>
  </si>
  <si>
    <t>V2copy打印笔数</t>
  </si>
  <si>
    <t>M_V2_REPORT_NUMBER</t>
  </si>
  <si>
    <t>/*V2copy打印笔数*/</t>
  </si>
  <si>
    <t>V2copy打印次数</t>
  </si>
  <si>
    <t>M_V2_COPY_NUMBER</t>
  </si>
  <si>
    <t>/*V2copy打印次数*/</t>
  </si>
  <si>
    <t>V3copy打印开始笔数</t>
  </si>
  <si>
    <t>M_V3_REPORT_START_NUM</t>
  </si>
  <si>
    <t>/*V3copy打印开始笔数*/</t>
  </si>
  <si>
    <t>V3copy打印笔数</t>
  </si>
  <si>
    <t>M_V3_REPORT_NUMBER</t>
  </si>
  <si>
    <t>/*V3copy打印笔数*/</t>
  </si>
  <si>
    <t>V3copy打印次数</t>
  </si>
  <si>
    <t>M_V3_COPY_NUMBER</t>
  </si>
  <si>
    <t>/*V3copy打印次数*/</t>
  </si>
  <si>
    <t>V4copy打印开始笔数</t>
  </si>
  <si>
    <t>M_V4_REPORT_START_NUM</t>
  </si>
  <si>
    <t>/*V4copy打印开始笔数*/</t>
  </si>
  <si>
    <t>V4copy打印笔数</t>
  </si>
  <si>
    <t>M_V4_REPORT_NUMBER</t>
  </si>
  <si>
    <t>/*V4copy打印笔数*/</t>
  </si>
  <si>
    <t>V4copy打印次数</t>
  </si>
  <si>
    <t>M_V4_COPY_NUMBER</t>
  </si>
  <si>
    <t>/*V4copy打印次数*/</t>
  </si>
  <si>
    <t>V1copy打印付钱金额</t>
  </si>
  <si>
    <t>M_V1_COPY_PAY</t>
  </si>
  <si>
    <t>/*V1copy打印付钱金额*/</t>
  </si>
  <si>
    <t>V2copy打印付钱金额</t>
  </si>
  <si>
    <t>M_V2_COPY_PAY</t>
  </si>
  <si>
    <t>/*V2copy打印付钱金额*/</t>
  </si>
  <si>
    <t>V3copy打印付钱金额</t>
  </si>
  <si>
    <t>M_V3_COPY_PAY</t>
  </si>
  <si>
    <t>/*V3copy打印付钱金额*/</t>
  </si>
  <si>
    <t>V4copy打印付钱金额</t>
  </si>
  <si>
    <t>M_V4_COPY_PAY</t>
  </si>
  <si>
    <t>/*V4copy打印付钱金额*/</t>
  </si>
  <si>
    <t>V1挂单笔数</t>
  </si>
  <si>
    <t>M_V1_ADD_COUNT</t>
  </si>
  <si>
    <t>LPP现在正在使用，后期需要删除</t>
  </si>
  <si>
    <t>V2挂单笔数</t>
  </si>
  <si>
    <t>M_V2_ADD_COUNT</t>
  </si>
  <si>
    <t>V3挂单笔数</t>
  </si>
  <si>
    <t>M_V3_ADD_COUNT</t>
  </si>
  <si>
    <t>V4挂单笔数</t>
  </si>
  <si>
    <t>M_V4_ADD_COUNT</t>
  </si>
  <si>
    <t>报表笔数</t>
  </si>
  <si>
    <t>M_REPORT_COUNT</t>
  </si>
  <si>
    <t>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</si>
</sst>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92D050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0" tint="-0.249977111117893"/>
      <name val="微软雅黑"/>
      <charset val="134"/>
    </font>
    <font>
      <sz val="10"/>
      <color rgb="FF92D05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2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6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11" fontId="7" fillId="0" borderId="1" xfId="0" applyNumberFormat="1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right" vertical="center"/>
    </xf>
    <xf numFmtId="0" fontId="6" fillId="0" borderId="8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6" fillId="0" borderId="3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6"/>
  <sheetViews>
    <sheetView tabSelected="1" zoomScale="85" zoomScaleNormal="85" workbookViewId="0">
      <selection activeCell="N5" sqref="N5"/>
    </sheetView>
  </sheetViews>
  <sheetFormatPr defaultColWidth="9" defaultRowHeight="13.5"/>
  <cols>
    <col min="1" max="1" width="9.11666666666667" customWidth="1"/>
    <col min="2" max="2" width="8.675" style="4" customWidth="1"/>
    <col min="3" max="3" width="8.875" customWidth="1"/>
    <col min="4" max="4" width="32.375" customWidth="1"/>
    <col min="5" max="5" width="40.4416666666667" customWidth="1"/>
    <col min="6" max="6" width="6.125" customWidth="1"/>
    <col min="7" max="7" width="3.5" customWidth="1"/>
    <col min="8" max="8" width="12.7916666666667" customWidth="1"/>
    <col min="9" max="9" width="30.1416666666667" customWidth="1"/>
    <col min="10" max="11" width="8.625" customWidth="1"/>
    <col min="12" max="13" width="12.75" customWidth="1"/>
    <col min="14" max="14" width="20.875" customWidth="1"/>
    <col min="15" max="15" width="35.5833333333333" customWidth="1"/>
    <col min="16" max="16" width="23.375" customWidth="1"/>
    <col min="17" max="17" width="20.2916666666667" customWidth="1"/>
  </cols>
  <sheetData>
    <row r="1" ht="16.5" spans="1:17">
      <c r="A1" s="5" t="s">
        <v>0</v>
      </c>
      <c r="B1" s="6"/>
      <c r="C1" s="7"/>
      <c r="D1" s="8"/>
      <c r="E1" s="8"/>
      <c r="F1" s="9"/>
      <c r="G1" s="10"/>
      <c r="H1" s="11"/>
      <c r="I1" s="15"/>
      <c r="J1" s="29"/>
      <c r="K1" s="29"/>
      <c r="L1" s="29"/>
      <c r="M1" s="29"/>
      <c r="N1" s="29"/>
      <c r="O1" s="5"/>
      <c r="P1" s="5"/>
      <c r="Q1" s="31"/>
    </row>
    <row r="2" ht="21" spans="1:16">
      <c r="A2" s="12" t="s">
        <v>1</v>
      </c>
      <c r="B2" s="6" t="s">
        <v>2</v>
      </c>
      <c r="C2" s="7" t="s">
        <v>3</v>
      </c>
      <c r="D2" s="13" t="s">
        <v>4</v>
      </c>
      <c r="E2" s="10" t="s">
        <v>5</v>
      </c>
      <c r="F2" s="14" t="s">
        <v>6</v>
      </c>
      <c r="G2" s="11"/>
      <c r="H2" s="15" t="s">
        <v>7</v>
      </c>
      <c r="I2" s="13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30" t="s">
        <v>14</v>
      </c>
      <c r="P2" s="31"/>
    </row>
    <row r="3" ht="20.25" spans="1:16">
      <c r="A3" s="16" t="s">
        <v>15</v>
      </c>
      <c r="B3" s="17" t="s">
        <v>16</v>
      </c>
      <c r="C3" s="18">
        <f>SUM(F50,J50)</f>
        <v>103</v>
      </c>
      <c r="D3" s="19" t="s">
        <v>17</v>
      </c>
      <c r="E3" s="20" t="s">
        <v>18</v>
      </c>
      <c r="F3" s="21">
        <v>1</v>
      </c>
      <c r="G3" s="22" t="s">
        <v>19</v>
      </c>
      <c r="H3" s="23" t="str">
        <f>DEC2HEX(J3)</f>
        <v>0</v>
      </c>
      <c r="I3" s="24" t="s">
        <v>20</v>
      </c>
      <c r="J3" s="12">
        <v>0</v>
      </c>
      <c r="K3" s="12" t="s">
        <v>21</v>
      </c>
      <c r="L3" s="12">
        <v>0</v>
      </c>
      <c r="M3" s="12" t="s">
        <v>22</v>
      </c>
      <c r="N3" s="12" t="s">
        <v>13</v>
      </c>
      <c r="O3" s="30" t="s">
        <v>23</v>
      </c>
      <c r="P3" s="31"/>
    </row>
    <row r="4" ht="20.25" spans="1:16">
      <c r="A4" s="16"/>
      <c r="B4" s="17"/>
      <c r="C4" s="18"/>
      <c r="D4" s="19" t="s">
        <v>24</v>
      </c>
      <c r="E4" s="20" t="s">
        <v>25</v>
      </c>
      <c r="F4" s="21">
        <v>4</v>
      </c>
      <c r="G4" s="22" t="s">
        <v>19</v>
      </c>
      <c r="H4" s="23" t="str">
        <f t="shared" ref="H3:H67" si="0">DEC2HEX(J4)</f>
        <v>1</v>
      </c>
      <c r="I4" s="24" t="s">
        <v>26</v>
      </c>
      <c r="J4" s="12">
        <f t="shared" ref="J4:J52" si="1">F3+J3</f>
        <v>1</v>
      </c>
      <c r="K4" s="12" t="s">
        <v>21</v>
      </c>
      <c r="L4" s="12">
        <v>0</v>
      </c>
      <c r="M4" s="12">
        <v>1</v>
      </c>
      <c r="N4" s="12" t="s">
        <v>13</v>
      </c>
      <c r="O4" s="30"/>
      <c r="P4" s="31"/>
    </row>
    <row r="5" ht="20.25" spans="1:16">
      <c r="A5" s="16"/>
      <c r="B5" s="17"/>
      <c r="C5" s="18"/>
      <c r="D5" s="19" t="s">
        <v>27</v>
      </c>
      <c r="E5" s="20" t="s">
        <v>28</v>
      </c>
      <c r="F5" s="21">
        <v>4</v>
      </c>
      <c r="G5" s="22" t="s">
        <v>19</v>
      </c>
      <c r="H5" s="23" t="str">
        <f t="shared" si="0"/>
        <v>5</v>
      </c>
      <c r="I5" s="24" t="s">
        <v>29</v>
      </c>
      <c r="J5" s="12">
        <f t="shared" si="1"/>
        <v>5</v>
      </c>
      <c r="K5" s="12" t="s">
        <v>21</v>
      </c>
      <c r="L5" s="12">
        <v>0</v>
      </c>
      <c r="M5" s="12">
        <v>1</v>
      </c>
      <c r="N5" s="12" t="s">
        <v>13</v>
      </c>
      <c r="O5" s="30"/>
      <c r="P5" s="31"/>
    </row>
    <row r="6" ht="20.25" spans="1:16">
      <c r="A6" s="16"/>
      <c r="B6" s="17"/>
      <c r="C6" s="18"/>
      <c r="D6" s="19" t="s">
        <v>30</v>
      </c>
      <c r="E6" s="20" t="s">
        <v>31</v>
      </c>
      <c r="F6" s="21">
        <v>4</v>
      </c>
      <c r="G6" s="22" t="s">
        <v>19</v>
      </c>
      <c r="H6" s="23" t="str">
        <f t="shared" si="0"/>
        <v>9</v>
      </c>
      <c r="I6" s="24" t="s">
        <v>32</v>
      </c>
      <c r="J6" s="12">
        <f t="shared" si="1"/>
        <v>9</v>
      </c>
      <c r="K6" s="12" t="s">
        <v>21</v>
      </c>
      <c r="L6" s="12">
        <v>0</v>
      </c>
      <c r="M6" s="12">
        <v>1</v>
      </c>
      <c r="N6" s="12" t="s">
        <v>13</v>
      </c>
      <c r="O6" s="30"/>
      <c r="P6" s="31"/>
    </row>
    <row r="7" ht="20.25" spans="1:16">
      <c r="A7" s="16"/>
      <c r="B7" s="17"/>
      <c r="C7" s="18"/>
      <c r="D7" s="19" t="s">
        <v>33</v>
      </c>
      <c r="E7" s="20" t="s">
        <v>34</v>
      </c>
      <c r="F7" s="21">
        <v>4</v>
      </c>
      <c r="G7" s="22" t="s">
        <v>19</v>
      </c>
      <c r="H7" s="23" t="str">
        <f t="shared" si="0"/>
        <v>D</v>
      </c>
      <c r="I7" s="24" t="s">
        <v>35</v>
      </c>
      <c r="J7" s="12">
        <f t="shared" si="1"/>
        <v>13</v>
      </c>
      <c r="K7" s="12" t="s">
        <v>21</v>
      </c>
      <c r="L7" s="12">
        <v>0</v>
      </c>
      <c r="M7" s="12">
        <v>1</v>
      </c>
      <c r="N7" s="12" t="s">
        <v>13</v>
      </c>
      <c r="O7" s="30"/>
      <c r="P7" s="31"/>
    </row>
    <row r="8" ht="20.25" spans="1:16">
      <c r="A8" s="16"/>
      <c r="B8" s="17"/>
      <c r="C8" s="18"/>
      <c r="D8" s="19" t="s">
        <v>36</v>
      </c>
      <c r="E8" s="20" t="s">
        <v>37</v>
      </c>
      <c r="F8" s="21">
        <v>4</v>
      </c>
      <c r="G8" s="22" t="s">
        <v>19</v>
      </c>
      <c r="H8" s="23" t="str">
        <f t="shared" si="0"/>
        <v>11</v>
      </c>
      <c r="I8" s="24" t="s">
        <v>38</v>
      </c>
      <c r="J8" s="12">
        <f t="shared" si="1"/>
        <v>17</v>
      </c>
      <c r="K8" s="12" t="s">
        <v>21</v>
      </c>
      <c r="L8" s="12">
        <v>0</v>
      </c>
      <c r="M8" s="12">
        <v>1</v>
      </c>
      <c r="N8" s="12" t="s">
        <v>13</v>
      </c>
      <c r="O8" s="30"/>
      <c r="P8" s="31"/>
    </row>
    <row r="9" ht="20.25" spans="1:16">
      <c r="A9" s="16"/>
      <c r="B9" s="17"/>
      <c r="C9" s="18"/>
      <c r="D9" s="19" t="s">
        <v>39</v>
      </c>
      <c r="E9" s="20" t="s">
        <v>40</v>
      </c>
      <c r="F9" s="21">
        <v>4</v>
      </c>
      <c r="G9" s="22" t="s">
        <v>19</v>
      </c>
      <c r="H9" s="23" t="str">
        <f t="shared" si="0"/>
        <v>15</v>
      </c>
      <c r="I9" s="24" t="s">
        <v>41</v>
      </c>
      <c r="J9" s="12">
        <f t="shared" si="1"/>
        <v>21</v>
      </c>
      <c r="K9" s="12" t="s">
        <v>21</v>
      </c>
      <c r="L9" s="12">
        <v>0</v>
      </c>
      <c r="M9" s="12">
        <v>1</v>
      </c>
      <c r="N9" s="12" t="s">
        <v>13</v>
      </c>
      <c r="O9" s="30"/>
      <c r="P9" s="31"/>
    </row>
    <row r="10" ht="20.25" spans="1:16">
      <c r="A10" s="16"/>
      <c r="B10" s="17"/>
      <c r="C10" s="18"/>
      <c r="D10" s="19" t="s">
        <v>42</v>
      </c>
      <c r="E10" s="20" t="s">
        <v>43</v>
      </c>
      <c r="F10" s="21">
        <v>4</v>
      </c>
      <c r="G10" s="22" t="s">
        <v>19</v>
      </c>
      <c r="H10" s="23" t="str">
        <f t="shared" si="0"/>
        <v>19</v>
      </c>
      <c r="I10" s="24" t="s">
        <v>44</v>
      </c>
      <c r="J10" s="12">
        <f t="shared" si="1"/>
        <v>25</v>
      </c>
      <c r="K10" s="12" t="s">
        <v>21</v>
      </c>
      <c r="L10" s="12">
        <v>0</v>
      </c>
      <c r="M10" s="12">
        <v>1</v>
      </c>
      <c r="N10" s="12" t="s">
        <v>13</v>
      </c>
      <c r="O10" s="30"/>
      <c r="P10" s="31"/>
    </row>
    <row r="11" ht="20.25" spans="1:16">
      <c r="A11" s="16"/>
      <c r="B11" s="17"/>
      <c r="C11" s="18"/>
      <c r="D11" s="19" t="s">
        <v>45</v>
      </c>
      <c r="E11" s="20" t="s">
        <v>46</v>
      </c>
      <c r="F11" s="21">
        <v>4</v>
      </c>
      <c r="G11" s="22" t="s">
        <v>19</v>
      </c>
      <c r="H11" s="23" t="str">
        <f t="shared" si="0"/>
        <v>1D</v>
      </c>
      <c r="I11" s="24" t="s">
        <v>47</v>
      </c>
      <c r="J11" s="12">
        <f t="shared" si="1"/>
        <v>29</v>
      </c>
      <c r="K11" s="12" t="s">
        <v>21</v>
      </c>
      <c r="L11" s="12">
        <v>0</v>
      </c>
      <c r="M11" s="12">
        <v>1</v>
      </c>
      <c r="N11" s="12" t="s">
        <v>13</v>
      </c>
      <c r="O11" s="30"/>
      <c r="P11" s="31"/>
    </row>
    <row r="12" ht="20.25" spans="1:16">
      <c r="A12" s="16"/>
      <c r="B12" s="17"/>
      <c r="C12" s="18"/>
      <c r="D12" s="19" t="s">
        <v>48</v>
      </c>
      <c r="E12" s="20" t="s">
        <v>49</v>
      </c>
      <c r="F12" s="21">
        <v>4</v>
      </c>
      <c r="G12" s="22" t="s">
        <v>19</v>
      </c>
      <c r="H12" s="23" t="str">
        <f t="shared" si="0"/>
        <v>21</v>
      </c>
      <c r="I12" s="24" t="s">
        <v>50</v>
      </c>
      <c r="J12" s="12">
        <f t="shared" si="1"/>
        <v>33</v>
      </c>
      <c r="K12" s="12" t="s">
        <v>21</v>
      </c>
      <c r="L12" s="12">
        <v>0</v>
      </c>
      <c r="M12" s="12">
        <v>1</v>
      </c>
      <c r="N12" s="12" t="s">
        <v>13</v>
      </c>
      <c r="O12" s="30"/>
      <c r="P12" s="31"/>
    </row>
    <row r="13" ht="20.25" spans="1:16">
      <c r="A13" s="16"/>
      <c r="B13" s="17"/>
      <c r="C13" s="18"/>
      <c r="D13" s="19" t="s">
        <v>51</v>
      </c>
      <c r="E13" s="20" t="s">
        <v>52</v>
      </c>
      <c r="F13" s="21">
        <v>4</v>
      </c>
      <c r="G13" s="22" t="s">
        <v>19</v>
      </c>
      <c r="H13" s="23" t="str">
        <f t="shared" si="0"/>
        <v>25</v>
      </c>
      <c r="I13" s="24" t="s">
        <v>53</v>
      </c>
      <c r="J13" s="12">
        <f t="shared" si="1"/>
        <v>37</v>
      </c>
      <c r="K13" s="12" t="s">
        <v>21</v>
      </c>
      <c r="L13" s="12">
        <v>0</v>
      </c>
      <c r="M13" s="12">
        <v>1</v>
      </c>
      <c r="N13" s="12" t="s">
        <v>13</v>
      </c>
      <c r="O13" s="30"/>
      <c r="P13" s="31"/>
    </row>
    <row r="14" ht="20.25" spans="1:16">
      <c r="A14" s="16"/>
      <c r="B14" s="17"/>
      <c r="C14" s="18"/>
      <c r="D14" s="19" t="s">
        <v>54</v>
      </c>
      <c r="E14" s="20" t="s">
        <v>55</v>
      </c>
      <c r="F14" s="21">
        <v>4</v>
      </c>
      <c r="G14" s="22" t="s">
        <v>19</v>
      </c>
      <c r="H14" s="23" t="str">
        <f t="shared" si="0"/>
        <v>29</v>
      </c>
      <c r="I14" s="24" t="s">
        <v>56</v>
      </c>
      <c r="J14" s="12">
        <f t="shared" si="1"/>
        <v>41</v>
      </c>
      <c r="K14" s="12" t="s">
        <v>21</v>
      </c>
      <c r="L14" s="12">
        <v>0</v>
      </c>
      <c r="M14" s="12">
        <v>1</v>
      </c>
      <c r="N14" s="12" t="s">
        <v>13</v>
      </c>
      <c r="O14" s="30"/>
      <c r="P14" s="31"/>
    </row>
    <row r="15" ht="20.25" spans="1:16">
      <c r="A15" s="16"/>
      <c r="B15" s="17"/>
      <c r="C15" s="18"/>
      <c r="D15" s="19" t="s">
        <v>57</v>
      </c>
      <c r="E15" s="20" t="s">
        <v>58</v>
      </c>
      <c r="F15" s="21">
        <v>4</v>
      </c>
      <c r="G15" s="22" t="s">
        <v>19</v>
      </c>
      <c r="H15" s="23" t="str">
        <f t="shared" si="0"/>
        <v>2D</v>
      </c>
      <c r="I15" s="24" t="s">
        <v>59</v>
      </c>
      <c r="J15" s="12">
        <f t="shared" si="1"/>
        <v>45</v>
      </c>
      <c r="K15" s="12" t="s">
        <v>21</v>
      </c>
      <c r="L15" s="12">
        <v>0</v>
      </c>
      <c r="M15" s="12">
        <v>1</v>
      </c>
      <c r="N15" s="12" t="s">
        <v>13</v>
      </c>
      <c r="O15" s="30"/>
      <c r="P15" s="31"/>
    </row>
    <row r="16" ht="20.25" spans="1:16">
      <c r="A16" s="16"/>
      <c r="B16" s="17"/>
      <c r="C16" s="18"/>
      <c r="D16" s="19" t="s">
        <v>60</v>
      </c>
      <c r="E16" s="20" t="s">
        <v>61</v>
      </c>
      <c r="F16" s="21">
        <v>4</v>
      </c>
      <c r="G16" s="22" t="s">
        <v>19</v>
      </c>
      <c r="H16" s="23" t="str">
        <f t="shared" si="0"/>
        <v>31</v>
      </c>
      <c r="I16" s="24" t="s">
        <v>62</v>
      </c>
      <c r="J16" s="12">
        <f t="shared" si="1"/>
        <v>49</v>
      </c>
      <c r="K16" s="12" t="s">
        <v>21</v>
      </c>
      <c r="L16" s="12">
        <v>0</v>
      </c>
      <c r="M16" s="12">
        <v>1</v>
      </c>
      <c r="N16" s="12" t="s">
        <v>13</v>
      </c>
      <c r="O16" s="30"/>
      <c r="P16" s="31"/>
    </row>
    <row r="17" ht="20.25" spans="1:16">
      <c r="A17" s="16"/>
      <c r="B17" s="17"/>
      <c r="C17" s="18"/>
      <c r="D17" s="19" t="s">
        <v>63</v>
      </c>
      <c r="E17" s="20" t="s">
        <v>64</v>
      </c>
      <c r="F17" s="21">
        <v>4</v>
      </c>
      <c r="G17" s="22" t="s">
        <v>19</v>
      </c>
      <c r="H17" s="23" t="str">
        <f t="shared" si="0"/>
        <v>35</v>
      </c>
      <c r="I17" s="24" t="s">
        <v>65</v>
      </c>
      <c r="J17" s="12">
        <f t="shared" si="1"/>
        <v>53</v>
      </c>
      <c r="K17" s="12" t="s">
        <v>21</v>
      </c>
      <c r="L17" s="12">
        <v>0</v>
      </c>
      <c r="M17" s="12">
        <v>1</v>
      </c>
      <c r="N17" s="12" t="s">
        <v>13</v>
      </c>
      <c r="O17" s="30"/>
      <c r="P17" s="31"/>
    </row>
    <row r="18" ht="20.25" spans="1:16">
      <c r="A18" s="16"/>
      <c r="B18" s="17"/>
      <c r="C18" s="18"/>
      <c r="D18" s="24" t="s">
        <v>66</v>
      </c>
      <c r="E18" s="20" t="s">
        <v>67</v>
      </c>
      <c r="F18" s="21">
        <v>4</v>
      </c>
      <c r="G18" s="22" t="s">
        <v>19</v>
      </c>
      <c r="H18" s="23" t="str">
        <f t="shared" si="0"/>
        <v>39</v>
      </c>
      <c r="I18" s="24" t="s">
        <v>68</v>
      </c>
      <c r="J18" s="12">
        <f t="shared" si="1"/>
        <v>57</v>
      </c>
      <c r="K18" s="12" t="s">
        <v>21</v>
      </c>
      <c r="L18" s="12">
        <v>0</v>
      </c>
      <c r="M18" s="12">
        <v>1</v>
      </c>
      <c r="N18" s="12" t="s">
        <v>13</v>
      </c>
      <c r="O18" s="30"/>
      <c r="P18" s="31"/>
    </row>
    <row r="19" ht="20.25" spans="1:16">
      <c r="A19" s="16"/>
      <c r="B19" s="17"/>
      <c r="C19" s="18"/>
      <c r="D19" s="19" t="s">
        <v>69</v>
      </c>
      <c r="E19" s="20" t="s">
        <v>70</v>
      </c>
      <c r="F19" s="21">
        <v>4</v>
      </c>
      <c r="G19" s="22" t="s">
        <v>19</v>
      </c>
      <c r="H19" s="23" t="str">
        <f t="shared" si="0"/>
        <v>3D</v>
      </c>
      <c r="I19" s="24" t="s">
        <v>71</v>
      </c>
      <c r="J19" s="12">
        <f t="shared" si="1"/>
        <v>61</v>
      </c>
      <c r="K19" s="12" t="s">
        <v>72</v>
      </c>
      <c r="L19" s="12">
        <v>1</v>
      </c>
      <c r="M19" s="12" t="s">
        <v>73</v>
      </c>
      <c r="N19" s="12" t="s">
        <v>13</v>
      </c>
      <c r="O19" s="30" t="s">
        <v>74</v>
      </c>
      <c r="P19" s="31"/>
    </row>
    <row r="20" ht="20.25" spans="1:16">
      <c r="A20" s="16"/>
      <c r="B20" s="17"/>
      <c r="C20" s="18"/>
      <c r="D20" s="19" t="s">
        <v>75</v>
      </c>
      <c r="E20" s="20" t="s">
        <v>76</v>
      </c>
      <c r="F20" s="21">
        <v>4</v>
      </c>
      <c r="G20" s="22" t="s">
        <v>19</v>
      </c>
      <c r="H20" s="23" t="str">
        <f t="shared" si="0"/>
        <v>41</v>
      </c>
      <c r="I20" s="24" t="s">
        <v>77</v>
      </c>
      <c r="J20" s="12">
        <f t="shared" si="1"/>
        <v>65</v>
      </c>
      <c r="K20" s="12" t="s">
        <v>72</v>
      </c>
      <c r="L20" s="12">
        <v>1</v>
      </c>
      <c r="M20" s="12" t="s">
        <v>78</v>
      </c>
      <c r="N20" s="12" t="s">
        <v>13</v>
      </c>
      <c r="O20" s="30" t="s">
        <v>74</v>
      </c>
      <c r="P20" s="31"/>
    </row>
    <row r="21" ht="20.25" spans="1:16">
      <c r="A21" s="16"/>
      <c r="B21" s="17"/>
      <c r="C21" s="18"/>
      <c r="D21" s="19" t="s">
        <v>79</v>
      </c>
      <c r="E21" s="20" t="s">
        <v>80</v>
      </c>
      <c r="F21" s="21">
        <v>1</v>
      </c>
      <c r="G21" s="22" t="s">
        <v>19</v>
      </c>
      <c r="H21" s="23" t="str">
        <f t="shared" si="0"/>
        <v>45</v>
      </c>
      <c r="I21" s="24" t="s">
        <v>81</v>
      </c>
      <c r="J21" s="12">
        <f t="shared" si="1"/>
        <v>69</v>
      </c>
      <c r="K21" s="12" t="s">
        <v>21</v>
      </c>
      <c r="L21" s="12">
        <v>1</v>
      </c>
      <c r="M21" s="12" t="s">
        <v>82</v>
      </c>
      <c r="N21" s="12" t="s">
        <v>83</v>
      </c>
      <c r="O21" s="30"/>
      <c r="P21" s="31"/>
    </row>
    <row r="22" ht="20.25" spans="1:16">
      <c r="A22" s="16"/>
      <c r="B22" s="17"/>
      <c r="C22" s="18"/>
      <c r="D22" s="19" t="s">
        <v>84</v>
      </c>
      <c r="E22" s="20" t="s">
        <v>85</v>
      </c>
      <c r="F22" s="21">
        <v>1</v>
      </c>
      <c r="G22" s="22" t="s">
        <v>19</v>
      </c>
      <c r="H22" s="23" t="str">
        <f t="shared" si="0"/>
        <v>46</v>
      </c>
      <c r="I22" s="24" t="s">
        <v>86</v>
      </c>
      <c r="J22" s="12">
        <f t="shared" si="1"/>
        <v>70</v>
      </c>
      <c r="K22" s="12" t="s">
        <v>21</v>
      </c>
      <c r="L22" s="12">
        <v>1</v>
      </c>
      <c r="M22" s="12" t="s">
        <v>82</v>
      </c>
      <c r="N22" s="12" t="s">
        <v>83</v>
      </c>
      <c r="O22" s="30"/>
      <c r="P22" s="31"/>
    </row>
    <row r="23" ht="20.25" spans="1:16">
      <c r="A23" s="16"/>
      <c r="B23" s="17"/>
      <c r="C23" s="18"/>
      <c r="D23" s="19" t="s">
        <v>87</v>
      </c>
      <c r="E23" s="20" t="s">
        <v>88</v>
      </c>
      <c r="F23" s="21">
        <v>1</v>
      </c>
      <c r="G23" s="22" t="s">
        <v>19</v>
      </c>
      <c r="H23" s="23" t="str">
        <f t="shared" si="0"/>
        <v>47</v>
      </c>
      <c r="I23" s="24" t="s">
        <v>89</v>
      </c>
      <c r="J23" s="12">
        <f t="shared" si="1"/>
        <v>71</v>
      </c>
      <c r="K23" s="12" t="s">
        <v>21</v>
      </c>
      <c r="L23" s="12">
        <v>1</v>
      </c>
      <c r="M23" s="12" t="s">
        <v>90</v>
      </c>
      <c r="N23" s="12" t="s">
        <v>13</v>
      </c>
      <c r="O23" s="32" t="s">
        <v>91</v>
      </c>
      <c r="P23" s="31"/>
    </row>
    <row r="24" ht="20.25" spans="1:16">
      <c r="A24" s="16"/>
      <c r="B24" s="17"/>
      <c r="C24" s="18"/>
      <c r="D24" s="19" t="s">
        <v>92</v>
      </c>
      <c r="E24" s="20" t="s">
        <v>93</v>
      </c>
      <c r="F24" s="21">
        <v>1</v>
      </c>
      <c r="G24" s="22" t="s">
        <v>19</v>
      </c>
      <c r="H24" s="23" t="str">
        <f t="shared" si="0"/>
        <v>48</v>
      </c>
      <c r="I24" s="24" t="s">
        <v>94</v>
      </c>
      <c r="J24" s="12">
        <f t="shared" si="1"/>
        <v>72</v>
      </c>
      <c r="K24" s="12" t="s">
        <v>21</v>
      </c>
      <c r="L24" s="12">
        <v>1</v>
      </c>
      <c r="M24" s="12">
        <v>1</v>
      </c>
      <c r="N24" s="12" t="s">
        <v>13</v>
      </c>
      <c r="O24" s="30" t="s">
        <v>95</v>
      </c>
      <c r="P24" s="31"/>
    </row>
    <row r="25" ht="20.25" spans="1:16">
      <c r="A25" s="16"/>
      <c r="B25" s="17"/>
      <c r="C25" s="18"/>
      <c r="D25" s="19" t="s">
        <v>96</v>
      </c>
      <c r="E25" s="20" t="s">
        <v>97</v>
      </c>
      <c r="F25" s="21">
        <v>1</v>
      </c>
      <c r="G25" s="22" t="s">
        <v>19</v>
      </c>
      <c r="H25" s="23" t="str">
        <f t="shared" si="0"/>
        <v>49</v>
      </c>
      <c r="I25" s="24" t="s">
        <v>98</v>
      </c>
      <c r="J25" s="12">
        <f t="shared" si="1"/>
        <v>73</v>
      </c>
      <c r="K25" s="12" t="s">
        <v>21</v>
      </c>
      <c r="L25" s="12">
        <v>2</v>
      </c>
      <c r="M25" s="12">
        <v>1</v>
      </c>
      <c r="N25" s="12" t="s">
        <v>99</v>
      </c>
      <c r="O25" s="30"/>
      <c r="P25" s="31"/>
    </row>
    <row r="26" ht="20.25" spans="1:16">
      <c r="A26" s="16"/>
      <c r="B26" s="17"/>
      <c r="C26" s="18"/>
      <c r="D26" s="19" t="s">
        <v>100</v>
      </c>
      <c r="E26" s="20" t="s">
        <v>101</v>
      </c>
      <c r="F26" s="21">
        <v>1</v>
      </c>
      <c r="G26" s="22" t="s">
        <v>19</v>
      </c>
      <c r="H26" s="23" t="str">
        <f t="shared" si="0"/>
        <v>4A</v>
      </c>
      <c r="I26" s="24" t="s">
        <v>102</v>
      </c>
      <c r="J26" s="12">
        <f t="shared" si="1"/>
        <v>74</v>
      </c>
      <c r="K26" s="12" t="s">
        <v>21</v>
      </c>
      <c r="L26" s="12">
        <v>2</v>
      </c>
      <c r="M26" s="12">
        <v>1</v>
      </c>
      <c r="N26" s="12" t="s">
        <v>99</v>
      </c>
      <c r="O26" s="30"/>
      <c r="P26" s="31"/>
    </row>
    <row r="27" ht="20.25" spans="1:16">
      <c r="A27" s="16"/>
      <c r="B27" s="17"/>
      <c r="C27" s="18"/>
      <c r="D27" s="19" t="s">
        <v>103</v>
      </c>
      <c r="E27" s="20" t="s">
        <v>104</v>
      </c>
      <c r="F27" s="21">
        <v>1</v>
      </c>
      <c r="G27" s="22" t="s">
        <v>19</v>
      </c>
      <c r="H27" s="23" t="str">
        <f t="shared" si="0"/>
        <v>4B</v>
      </c>
      <c r="I27" s="24" t="s">
        <v>105</v>
      </c>
      <c r="J27" s="12">
        <f t="shared" si="1"/>
        <v>75</v>
      </c>
      <c r="K27" s="12" t="s">
        <v>21</v>
      </c>
      <c r="L27" s="12">
        <v>2</v>
      </c>
      <c r="M27" s="12">
        <v>1</v>
      </c>
      <c r="N27" s="12" t="s">
        <v>99</v>
      </c>
      <c r="O27" s="30"/>
      <c r="P27" s="31"/>
    </row>
    <row r="28" ht="20.25" spans="1:16">
      <c r="A28" s="16"/>
      <c r="B28" s="17"/>
      <c r="C28" s="18"/>
      <c r="D28" s="19" t="s">
        <v>106</v>
      </c>
      <c r="E28" s="20" t="s">
        <v>107</v>
      </c>
      <c r="F28" s="21">
        <v>1</v>
      </c>
      <c r="G28" s="22" t="s">
        <v>19</v>
      </c>
      <c r="H28" s="23" t="str">
        <f t="shared" si="0"/>
        <v>4C</v>
      </c>
      <c r="I28" s="24" t="s">
        <v>108</v>
      </c>
      <c r="J28" s="12">
        <f t="shared" si="1"/>
        <v>76</v>
      </c>
      <c r="K28" s="12" t="s">
        <v>21</v>
      </c>
      <c r="L28" s="12">
        <v>2</v>
      </c>
      <c r="M28" s="12">
        <v>1</v>
      </c>
      <c r="N28" s="12" t="s">
        <v>99</v>
      </c>
      <c r="O28" s="30"/>
      <c r="P28" s="31"/>
    </row>
    <row r="29" ht="20.25" spans="1:16">
      <c r="A29" s="16"/>
      <c r="B29" s="17"/>
      <c r="C29" s="18"/>
      <c r="D29" s="19" t="s">
        <v>109</v>
      </c>
      <c r="E29" s="20" t="s">
        <v>110</v>
      </c>
      <c r="F29" s="21">
        <v>1</v>
      </c>
      <c r="G29" s="22" t="s">
        <v>19</v>
      </c>
      <c r="H29" s="23" t="str">
        <f t="shared" si="0"/>
        <v>4D</v>
      </c>
      <c r="I29" s="24" t="s">
        <v>111</v>
      </c>
      <c r="J29" s="12">
        <f t="shared" si="1"/>
        <v>77</v>
      </c>
      <c r="K29" s="12" t="s">
        <v>21</v>
      </c>
      <c r="L29" s="12">
        <v>2</v>
      </c>
      <c r="M29" s="12">
        <v>1</v>
      </c>
      <c r="N29" s="12" t="s">
        <v>99</v>
      </c>
      <c r="O29" s="30"/>
      <c r="P29" s="31"/>
    </row>
    <row r="30" ht="20.25" spans="1:16">
      <c r="A30" s="16"/>
      <c r="B30" s="17"/>
      <c r="C30" s="18"/>
      <c r="D30" s="19" t="s">
        <v>112</v>
      </c>
      <c r="E30" s="20" t="s">
        <v>113</v>
      </c>
      <c r="F30" s="21">
        <v>1</v>
      </c>
      <c r="G30" s="22" t="s">
        <v>19</v>
      </c>
      <c r="H30" s="23" t="str">
        <f t="shared" si="0"/>
        <v>4E</v>
      </c>
      <c r="I30" s="24" t="s">
        <v>114</v>
      </c>
      <c r="J30" s="12">
        <f t="shared" si="1"/>
        <v>78</v>
      </c>
      <c r="K30" s="12" t="s">
        <v>21</v>
      </c>
      <c r="L30" s="12">
        <v>2</v>
      </c>
      <c r="M30" s="12">
        <v>1</v>
      </c>
      <c r="N30" s="12" t="s">
        <v>99</v>
      </c>
      <c r="O30" s="30"/>
      <c r="P30" s="31"/>
    </row>
    <row r="31" ht="20.25" spans="1:16">
      <c r="A31" s="16"/>
      <c r="B31" s="17"/>
      <c r="C31" s="18"/>
      <c r="D31" s="19" t="s">
        <v>115</v>
      </c>
      <c r="E31" s="20" t="s">
        <v>116</v>
      </c>
      <c r="F31" s="21">
        <v>1</v>
      </c>
      <c r="G31" s="22" t="s">
        <v>19</v>
      </c>
      <c r="H31" s="23" t="str">
        <f t="shared" si="0"/>
        <v>4F</v>
      </c>
      <c r="I31" s="24" t="s">
        <v>117</v>
      </c>
      <c r="J31" s="12">
        <f t="shared" si="1"/>
        <v>79</v>
      </c>
      <c r="K31" s="12" t="s">
        <v>21</v>
      </c>
      <c r="L31" s="12">
        <v>2</v>
      </c>
      <c r="M31" s="12">
        <v>1</v>
      </c>
      <c r="N31" s="12" t="s">
        <v>99</v>
      </c>
      <c r="O31" s="30"/>
      <c r="P31" s="31"/>
    </row>
    <row r="32" ht="20.25" spans="1:16">
      <c r="A32" s="16"/>
      <c r="B32" s="17"/>
      <c r="C32" s="18"/>
      <c r="D32" s="19" t="s">
        <v>118</v>
      </c>
      <c r="E32" s="20" t="s">
        <v>119</v>
      </c>
      <c r="F32" s="21">
        <v>1</v>
      </c>
      <c r="G32" s="22" t="s">
        <v>19</v>
      </c>
      <c r="H32" s="23" t="str">
        <f t="shared" si="0"/>
        <v>50</v>
      </c>
      <c r="I32" s="24" t="s">
        <v>120</v>
      </c>
      <c r="J32" s="12">
        <f t="shared" si="1"/>
        <v>80</v>
      </c>
      <c r="K32" s="12" t="s">
        <v>21</v>
      </c>
      <c r="L32" s="12">
        <v>2</v>
      </c>
      <c r="M32" s="12">
        <v>1</v>
      </c>
      <c r="N32" s="12" t="s">
        <v>99</v>
      </c>
      <c r="O32" s="30"/>
      <c r="P32" s="31"/>
    </row>
    <row r="33" ht="20.25" spans="1:16">
      <c r="A33" s="16"/>
      <c r="B33" s="17"/>
      <c r="C33" s="18"/>
      <c r="D33" s="19" t="s">
        <v>121</v>
      </c>
      <c r="E33" s="20" t="s">
        <v>122</v>
      </c>
      <c r="F33" s="21">
        <v>1</v>
      </c>
      <c r="G33" s="22" t="s">
        <v>19</v>
      </c>
      <c r="H33" s="23" t="str">
        <f t="shared" si="0"/>
        <v>51</v>
      </c>
      <c r="I33" s="24" t="s">
        <v>123</v>
      </c>
      <c r="J33" s="12">
        <f t="shared" si="1"/>
        <v>81</v>
      </c>
      <c r="K33" s="12" t="s">
        <v>21</v>
      </c>
      <c r="L33" s="12">
        <v>2</v>
      </c>
      <c r="M33" s="12">
        <v>1</v>
      </c>
      <c r="N33" s="12" t="s">
        <v>99</v>
      </c>
      <c r="O33" s="30"/>
      <c r="P33" s="31"/>
    </row>
    <row r="34" ht="20.25" spans="1:16">
      <c r="A34" s="16"/>
      <c r="B34" s="17"/>
      <c r="C34" s="18"/>
      <c r="D34" s="19" t="s">
        <v>124</v>
      </c>
      <c r="E34" s="20" t="s">
        <v>125</v>
      </c>
      <c r="F34" s="21">
        <v>1</v>
      </c>
      <c r="G34" s="22" t="s">
        <v>19</v>
      </c>
      <c r="H34" s="23" t="str">
        <f t="shared" si="0"/>
        <v>52</v>
      </c>
      <c r="I34" s="24" t="s">
        <v>126</v>
      </c>
      <c r="J34" s="12">
        <f t="shared" si="1"/>
        <v>82</v>
      </c>
      <c r="K34" s="12" t="s">
        <v>21</v>
      </c>
      <c r="L34" s="12">
        <v>2</v>
      </c>
      <c r="M34" s="12">
        <v>1</v>
      </c>
      <c r="N34" s="12" t="s">
        <v>99</v>
      </c>
      <c r="O34" s="30"/>
      <c r="P34" s="31"/>
    </row>
    <row r="35" ht="20.25" spans="1:16">
      <c r="A35" s="16"/>
      <c r="B35" s="17"/>
      <c r="C35" s="18"/>
      <c r="D35" s="19" t="s">
        <v>127</v>
      </c>
      <c r="E35" s="20" t="s">
        <v>128</v>
      </c>
      <c r="F35" s="21">
        <v>1</v>
      </c>
      <c r="G35" s="22" t="s">
        <v>19</v>
      </c>
      <c r="H35" s="23" t="str">
        <f t="shared" si="0"/>
        <v>53</v>
      </c>
      <c r="I35" s="24" t="s">
        <v>129</v>
      </c>
      <c r="J35" s="12">
        <f t="shared" si="1"/>
        <v>83</v>
      </c>
      <c r="K35" s="12" t="s">
        <v>21</v>
      </c>
      <c r="L35" s="12">
        <v>2</v>
      </c>
      <c r="M35" s="12">
        <v>1</v>
      </c>
      <c r="N35" s="12" t="s">
        <v>99</v>
      </c>
      <c r="O35" s="30"/>
      <c r="P35" s="31"/>
    </row>
    <row r="36" ht="20.25" spans="1:16">
      <c r="A36" s="16"/>
      <c r="B36" s="17"/>
      <c r="C36" s="18"/>
      <c r="D36" s="19" t="s">
        <v>130</v>
      </c>
      <c r="E36" s="20" t="s">
        <v>131</v>
      </c>
      <c r="F36" s="21">
        <v>1</v>
      </c>
      <c r="G36" s="22" t="s">
        <v>19</v>
      </c>
      <c r="H36" s="23" t="str">
        <f t="shared" si="0"/>
        <v>54</v>
      </c>
      <c r="I36" s="24" t="s">
        <v>132</v>
      </c>
      <c r="J36" s="12">
        <f t="shared" si="1"/>
        <v>84</v>
      </c>
      <c r="K36" s="12" t="s">
        <v>21</v>
      </c>
      <c r="L36" s="12">
        <v>2</v>
      </c>
      <c r="M36" s="12">
        <v>1</v>
      </c>
      <c r="N36" s="12" t="s">
        <v>99</v>
      </c>
      <c r="O36" s="30"/>
      <c r="P36" s="31"/>
    </row>
    <row r="37" ht="20.25" spans="1:16">
      <c r="A37" s="16"/>
      <c r="B37" s="17"/>
      <c r="C37" s="18"/>
      <c r="D37" s="19" t="s">
        <v>133</v>
      </c>
      <c r="E37" s="20" t="s">
        <v>134</v>
      </c>
      <c r="F37" s="21">
        <v>1</v>
      </c>
      <c r="G37" s="22" t="s">
        <v>19</v>
      </c>
      <c r="H37" s="23" t="str">
        <f t="shared" si="0"/>
        <v>55</v>
      </c>
      <c r="I37" s="24" t="s">
        <v>135</v>
      </c>
      <c r="J37" s="12">
        <f t="shared" si="1"/>
        <v>85</v>
      </c>
      <c r="K37" s="12" t="s">
        <v>21</v>
      </c>
      <c r="L37" s="12">
        <v>2</v>
      </c>
      <c r="M37" s="12">
        <v>1</v>
      </c>
      <c r="N37" s="12" t="s">
        <v>99</v>
      </c>
      <c r="O37" s="30"/>
      <c r="P37" s="31"/>
    </row>
    <row r="38" ht="20.25" spans="1:16">
      <c r="A38" s="16"/>
      <c r="B38" s="17"/>
      <c r="C38" s="18"/>
      <c r="D38" s="19" t="s">
        <v>136</v>
      </c>
      <c r="E38" s="20" t="s">
        <v>137</v>
      </c>
      <c r="F38" s="21">
        <v>1</v>
      </c>
      <c r="G38" s="22" t="s">
        <v>19</v>
      </c>
      <c r="H38" s="23" t="str">
        <f t="shared" si="0"/>
        <v>56</v>
      </c>
      <c r="I38" s="24" t="s">
        <v>138</v>
      </c>
      <c r="J38" s="12">
        <f t="shared" si="1"/>
        <v>86</v>
      </c>
      <c r="K38" s="12" t="s">
        <v>21</v>
      </c>
      <c r="L38" s="12">
        <v>2</v>
      </c>
      <c r="M38" s="12">
        <v>1</v>
      </c>
      <c r="N38" s="12" t="s">
        <v>99</v>
      </c>
      <c r="O38" s="30"/>
      <c r="P38" s="31"/>
    </row>
    <row r="39" ht="20.25" spans="1:16">
      <c r="A39" s="16"/>
      <c r="B39" s="17"/>
      <c r="C39" s="18"/>
      <c r="D39" s="19" t="s">
        <v>139</v>
      </c>
      <c r="E39" s="20" t="s">
        <v>140</v>
      </c>
      <c r="F39" s="21">
        <v>1</v>
      </c>
      <c r="G39" s="22" t="s">
        <v>19</v>
      </c>
      <c r="H39" s="23" t="str">
        <f t="shared" si="0"/>
        <v>57</v>
      </c>
      <c r="I39" s="24" t="s">
        <v>141</v>
      </c>
      <c r="J39" s="12">
        <f t="shared" si="1"/>
        <v>87</v>
      </c>
      <c r="K39" s="12" t="s">
        <v>21</v>
      </c>
      <c r="L39" s="12">
        <v>2</v>
      </c>
      <c r="M39" s="12">
        <v>1</v>
      </c>
      <c r="N39" s="12" t="s">
        <v>99</v>
      </c>
      <c r="O39" s="30"/>
      <c r="P39" s="31"/>
    </row>
    <row r="40" ht="20.25" spans="1:16">
      <c r="A40" s="16"/>
      <c r="B40" s="17"/>
      <c r="C40" s="18"/>
      <c r="D40" s="19" t="s">
        <v>142</v>
      </c>
      <c r="E40" s="20" t="s">
        <v>143</v>
      </c>
      <c r="F40" s="21">
        <v>1</v>
      </c>
      <c r="G40" s="22" t="s">
        <v>19</v>
      </c>
      <c r="H40" s="23" t="str">
        <f t="shared" si="0"/>
        <v>58</v>
      </c>
      <c r="I40" s="24" t="s">
        <v>144</v>
      </c>
      <c r="J40" s="12">
        <f t="shared" si="1"/>
        <v>88</v>
      </c>
      <c r="K40" s="12" t="s">
        <v>21</v>
      </c>
      <c r="L40" s="12">
        <v>2</v>
      </c>
      <c r="M40" s="12">
        <v>1</v>
      </c>
      <c r="N40" s="12" t="s">
        <v>99</v>
      </c>
      <c r="O40" s="30"/>
      <c r="P40" s="31"/>
    </row>
    <row r="41" ht="20.25" spans="1:16">
      <c r="A41" s="16"/>
      <c r="B41" s="17"/>
      <c r="C41" s="18"/>
      <c r="D41" s="19" t="s">
        <v>145</v>
      </c>
      <c r="E41" s="20" t="s">
        <v>146</v>
      </c>
      <c r="F41" s="21">
        <v>1</v>
      </c>
      <c r="G41" s="22" t="s">
        <v>19</v>
      </c>
      <c r="H41" s="23" t="str">
        <f t="shared" si="0"/>
        <v>59</v>
      </c>
      <c r="I41" s="24" t="s">
        <v>147</v>
      </c>
      <c r="J41" s="12">
        <f t="shared" si="1"/>
        <v>89</v>
      </c>
      <c r="K41" s="12" t="s">
        <v>21</v>
      </c>
      <c r="L41" s="12">
        <v>2</v>
      </c>
      <c r="M41" s="12">
        <v>1</v>
      </c>
      <c r="N41" s="12" t="s">
        <v>99</v>
      </c>
      <c r="O41" s="30"/>
      <c r="P41" s="31"/>
    </row>
    <row r="42" ht="20.25" spans="1:16">
      <c r="A42" s="16"/>
      <c r="B42" s="17"/>
      <c r="C42" s="18"/>
      <c r="D42" s="19" t="s">
        <v>148</v>
      </c>
      <c r="E42" s="20" t="s">
        <v>149</v>
      </c>
      <c r="F42" s="21">
        <v>1</v>
      </c>
      <c r="G42" s="22" t="s">
        <v>19</v>
      </c>
      <c r="H42" s="23" t="str">
        <f t="shared" si="0"/>
        <v>5A</v>
      </c>
      <c r="I42" s="24" t="s">
        <v>150</v>
      </c>
      <c r="J42" s="12">
        <f t="shared" si="1"/>
        <v>90</v>
      </c>
      <c r="K42" s="12" t="s">
        <v>21</v>
      </c>
      <c r="L42" s="12">
        <v>2</v>
      </c>
      <c r="M42" s="12">
        <v>1</v>
      </c>
      <c r="N42" s="12" t="s">
        <v>99</v>
      </c>
      <c r="O42" s="30"/>
      <c r="P42" s="31"/>
    </row>
    <row r="43" ht="20.25" spans="1:16">
      <c r="A43" s="16"/>
      <c r="B43" s="17"/>
      <c r="C43" s="18"/>
      <c r="D43" s="19" t="s">
        <v>151</v>
      </c>
      <c r="E43" s="20" t="s">
        <v>152</v>
      </c>
      <c r="F43" s="21">
        <v>1</v>
      </c>
      <c r="G43" s="22" t="s">
        <v>19</v>
      </c>
      <c r="H43" s="23" t="str">
        <f t="shared" si="0"/>
        <v>5B</v>
      </c>
      <c r="I43" s="24" t="s">
        <v>153</v>
      </c>
      <c r="J43" s="12">
        <f t="shared" si="1"/>
        <v>91</v>
      </c>
      <c r="K43" s="12" t="s">
        <v>21</v>
      </c>
      <c r="L43" s="12">
        <v>2</v>
      </c>
      <c r="M43" s="12">
        <v>1</v>
      </c>
      <c r="N43" s="12" t="s">
        <v>99</v>
      </c>
      <c r="O43" s="30"/>
      <c r="P43" s="31"/>
    </row>
    <row r="44" ht="20.25" spans="1:16">
      <c r="A44" s="16"/>
      <c r="B44" s="17"/>
      <c r="C44" s="18"/>
      <c r="D44" s="19" t="s">
        <v>154</v>
      </c>
      <c r="E44" s="20" t="s">
        <v>155</v>
      </c>
      <c r="F44" s="21">
        <v>1</v>
      </c>
      <c r="G44" s="22" t="s">
        <v>19</v>
      </c>
      <c r="H44" s="23" t="str">
        <f t="shared" si="0"/>
        <v>5C</v>
      </c>
      <c r="I44" s="24" t="s">
        <v>156</v>
      </c>
      <c r="J44" s="12">
        <f t="shared" si="1"/>
        <v>92</v>
      </c>
      <c r="K44" s="12" t="s">
        <v>21</v>
      </c>
      <c r="L44" s="12">
        <v>2</v>
      </c>
      <c r="M44" s="12">
        <v>1</v>
      </c>
      <c r="N44" s="12" t="s">
        <v>99</v>
      </c>
      <c r="O44" s="30"/>
      <c r="P44" s="31"/>
    </row>
    <row r="45" ht="20.25" spans="1:16">
      <c r="A45" s="16"/>
      <c r="B45" s="17"/>
      <c r="C45" s="18"/>
      <c r="D45" s="19" t="s">
        <v>157</v>
      </c>
      <c r="E45" s="20" t="s">
        <v>158</v>
      </c>
      <c r="F45" s="21">
        <v>1</v>
      </c>
      <c r="G45" s="22" t="s">
        <v>19</v>
      </c>
      <c r="H45" s="23" t="str">
        <f t="shared" si="0"/>
        <v>5D</v>
      </c>
      <c r="I45" s="24" t="s">
        <v>159</v>
      </c>
      <c r="J45" s="12">
        <f t="shared" si="1"/>
        <v>93</v>
      </c>
      <c r="K45" s="12" t="s">
        <v>21</v>
      </c>
      <c r="L45" s="12">
        <v>1</v>
      </c>
      <c r="M45" s="12">
        <v>1</v>
      </c>
      <c r="N45" s="12" t="s">
        <v>13</v>
      </c>
      <c r="O45" s="30"/>
      <c r="P45" s="31"/>
    </row>
    <row r="46" ht="20.25" spans="1:16">
      <c r="A46" s="16"/>
      <c r="B46" s="17"/>
      <c r="C46" s="18"/>
      <c r="D46" s="19" t="s">
        <v>160</v>
      </c>
      <c r="E46" s="20" t="s">
        <v>161</v>
      </c>
      <c r="F46" s="21">
        <v>1</v>
      </c>
      <c r="G46" s="22" t="s">
        <v>19</v>
      </c>
      <c r="H46" s="23" t="str">
        <f t="shared" si="0"/>
        <v>5E</v>
      </c>
      <c r="I46" s="24" t="s">
        <v>162</v>
      </c>
      <c r="J46" s="12">
        <f t="shared" si="1"/>
        <v>94</v>
      </c>
      <c r="K46" s="12" t="s">
        <v>21</v>
      </c>
      <c r="L46" s="12">
        <v>1</v>
      </c>
      <c r="M46" s="12">
        <v>1</v>
      </c>
      <c r="N46" s="12" t="s">
        <v>13</v>
      </c>
      <c r="O46" s="30"/>
      <c r="P46" s="31"/>
    </row>
    <row r="47" ht="20.25" spans="1:16">
      <c r="A47" s="16"/>
      <c r="B47" s="17"/>
      <c r="C47" s="18"/>
      <c r="D47" s="19" t="s">
        <v>163</v>
      </c>
      <c r="E47" s="20" t="s">
        <v>164</v>
      </c>
      <c r="F47" s="21">
        <v>1</v>
      </c>
      <c r="G47" s="22" t="s">
        <v>19</v>
      </c>
      <c r="H47" s="23" t="str">
        <f t="shared" si="0"/>
        <v>5F</v>
      </c>
      <c r="I47" s="24" t="s">
        <v>165</v>
      </c>
      <c r="J47" s="12">
        <f t="shared" si="1"/>
        <v>95</v>
      </c>
      <c r="K47" s="12" t="s">
        <v>21</v>
      </c>
      <c r="L47" s="12">
        <v>1</v>
      </c>
      <c r="M47" s="12">
        <v>1</v>
      </c>
      <c r="N47" s="12" t="s">
        <v>13</v>
      </c>
      <c r="O47" s="30"/>
      <c r="P47" s="31"/>
    </row>
    <row r="48" ht="20.25" spans="1:16">
      <c r="A48" s="16"/>
      <c r="B48" s="17"/>
      <c r="C48" s="18"/>
      <c r="D48" s="19" t="s">
        <v>166</v>
      </c>
      <c r="E48" s="20" t="s">
        <v>167</v>
      </c>
      <c r="F48" s="21">
        <v>2</v>
      </c>
      <c r="G48" s="22" t="s">
        <v>19</v>
      </c>
      <c r="H48" s="23" t="str">
        <f t="shared" si="0"/>
        <v>60</v>
      </c>
      <c r="I48" s="24" t="s">
        <v>168</v>
      </c>
      <c r="J48" s="12">
        <f t="shared" si="1"/>
        <v>96</v>
      </c>
      <c r="K48" s="12" t="s">
        <v>21</v>
      </c>
      <c r="L48" s="12">
        <v>2</v>
      </c>
      <c r="M48" s="12">
        <v>1</v>
      </c>
      <c r="N48" s="12" t="s">
        <v>13</v>
      </c>
      <c r="O48" s="30"/>
      <c r="P48" s="31"/>
    </row>
    <row r="49" ht="20.25" spans="1:16">
      <c r="A49" s="16"/>
      <c r="B49" s="17"/>
      <c r="C49" s="18"/>
      <c r="D49" s="19" t="s">
        <v>169</v>
      </c>
      <c r="E49" s="20" t="s">
        <v>170</v>
      </c>
      <c r="F49" s="21">
        <v>1</v>
      </c>
      <c r="G49" s="22" t="s">
        <v>19</v>
      </c>
      <c r="H49" s="23" t="str">
        <f t="shared" si="0"/>
        <v>62</v>
      </c>
      <c r="I49" s="24" t="s">
        <v>171</v>
      </c>
      <c r="J49" s="12">
        <f t="shared" si="1"/>
        <v>98</v>
      </c>
      <c r="K49" s="12" t="s">
        <v>21</v>
      </c>
      <c r="L49" s="12">
        <v>2</v>
      </c>
      <c r="M49" s="12">
        <v>1</v>
      </c>
      <c r="N49" s="12" t="s">
        <v>13</v>
      </c>
      <c r="O49" s="30"/>
      <c r="P49" s="31"/>
    </row>
    <row r="50" ht="20.25" spans="1:16">
      <c r="A50" s="16"/>
      <c r="B50" s="17"/>
      <c r="C50" s="18"/>
      <c r="D50" s="25" t="s">
        <v>172</v>
      </c>
      <c r="E50" s="25" t="s">
        <v>172</v>
      </c>
      <c r="F50" s="26">
        <v>4</v>
      </c>
      <c r="G50" s="22" t="s">
        <v>19</v>
      </c>
      <c r="H50" s="27" t="str">
        <f t="shared" si="0"/>
        <v>63</v>
      </c>
      <c r="I50" s="33"/>
      <c r="J50" s="34">
        <f t="shared" si="1"/>
        <v>99</v>
      </c>
      <c r="K50" s="12" t="s">
        <v>21</v>
      </c>
      <c r="L50" s="12">
        <v>2</v>
      </c>
      <c r="M50" s="12">
        <v>1</v>
      </c>
      <c r="N50" s="12" t="s">
        <v>13</v>
      </c>
      <c r="O50" s="30"/>
      <c r="P50" s="31"/>
    </row>
    <row r="51" ht="20.25" spans="1:16">
      <c r="A51" s="16"/>
      <c r="B51" s="16" t="s">
        <v>173</v>
      </c>
      <c r="C51" s="28">
        <f>SUM(F81,J81)-J51</f>
        <v>62</v>
      </c>
      <c r="D51" s="19" t="s">
        <v>174</v>
      </c>
      <c r="E51" s="20" t="s">
        <v>175</v>
      </c>
      <c r="F51" s="21">
        <v>1</v>
      </c>
      <c r="G51" s="22" t="s">
        <v>19</v>
      </c>
      <c r="H51" s="23" t="str">
        <f t="shared" si="0"/>
        <v>67</v>
      </c>
      <c r="I51" s="24" t="s">
        <v>176</v>
      </c>
      <c r="J51" s="12">
        <f t="shared" si="1"/>
        <v>103</v>
      </c>
      <c r="K51" s="12" t="s">
        <v>21</v>
      </c>
      <c r="L51" s="12">
        <v>2</v>
      </c>
      <c r="M51" s="12">
        <v>1</v>
      </c>
      <c r="N51" s="12" t="s">
        <v>13</v>
      </c>
      <c r="O51" s="30"/>
      <c r="P51" s="31"/>
    </row>
    <row r="52" ht="20.25" spans="1:16">
      <c r="A52" s="16"/>
      <c r="B52" s="16"/>
      <c r="C52" s="28"/>
      <c r="D52" s="19" t="s">
        <v>177</v>
      </c>
      <c r="E52" s="20" t="s">
        <v>178</v>
      </c>
      <c r="F52" s="21">
        <v>15</v>
      </c>
      <c r="G52" s="22" t="s">
        <v>19</v>
      </c>
      <c r="H52" s="23" t="str">
        <f t="shared" si="0"/>
        <v>68</v>
      </c>
      <c r="I52" s="24" t="s">
        <v>179</v>
      </c>
      <c r="J52" s="12">
        <f t="shared" si="1"/>
        <v>104</v>
      </c>
      <c r="K52" s="12" t="s">
        <v>180</v>
      </c>
      <c r="L52" s="12">
        <v>2</v>
      </c>
      <c r="M52" s="12">
        <v>1</v>
      </c>
      <c r="N52" s="12" t="s">
        <v>13</v>
      </c>
      <c r="O52" s="30"/>
      <c r="P52" s="31"/>
    </row>
    <row r="53" ht="20.25" spans="1:16">
      <c r="A53" s="16"/>
      <c r="B53" s="16"/>
      <c r="C53" s="28"/>
      <c r="D53" s="19" t="s">
        <v>181</v>
      </c>
      <c r="E53" s="20" t="s">
        <v>182</v>
      </c>
      <c r="F53" s="21">
        <v>1</v>
      </c>
      <c r="G53" s="22" t="s">
        <v>19</v>
      </c>
      <c r="H53" s="23" t="str">
        <f t="shared" si="0"/>
        <v>77</v>
      </c>
      <c r="I53" s="24" t="s">
        <v>183</v>
      </c>
      <c r="J53" s="12">
        <f>J52+F52</f>
        <v>119</v>
      </c>
      <c r="K53" s="12" t="s">
        <v>21</v>
      </c>
      <c r="L53" s="12">
        <v>2</v>
      </c>
      <c r="M53" s="12">
        <v>1</v>
      </c>
      <c r="N53" s="12" t="s">
        <v>13</v>
      </c>
      <c r="O53" s="30"/>
      <c r="P53" s="31"/>
    </row>
    <row r="54" ht="20.25" spans="1:16">
      <c r="A54" s="16"/>
      <c r="B54" s="16"/>
      <c r="C54" s="28"/>
      <c r="D54" s="19" t="s">
        <v>184</v>
      </c>
      <c r="E54" s="20" t="s">
        <v>185</v>
      </c>
      <c r="F54" s="21">
        <v>1</v>
      </c>
      <c r="G54" s="22" t="s">
        <v>19</v>
      </c>
      <c r="H54" s="23" t="str">
        <f t="shared" si="0"/>
        <v>78</v>
      </c>
      <c r="I54" s="24" t="s">
        <v>186</v>
      </c>
      <c r="J54" s="12">
        <f t="shared" ref="J54:J81" si="2">F53+J53</f>
        <v>120</v>
      </c>
      <c r="K54" s="12" t="s">
        <v>21</v>
      </c>
      <c r="L54" s="12">
        <v>2</v>
      </c>
      <c r="M54" s="12">
        <v>1</v>
      </c>
      <c r="N54" s="12" t="s">
        <v>13</v>
      </c>
      <c r="O54" s="30"/>
      <c r="P54" s="31"/>
    </row>
    <row r="55" ht="20.25" spans="1:16">
      <c r="A55" s="16"/>
      <c r="B55" s="16"/>
      <c r="C55" s="28"/>
      <c r="D55" s="19" t="s">
        <v>187</v>
      </c>
      <c r="E55" s="20" t="s">
        <v>188</v>
      </c>
      <c r="F55" s="21">
        <v>1</v>
      </c>
      <c r="G55" s="22" t="s">
        <v>19</v>
      </c>
      <c r="H55" s="23" t="str">
        <f t="shared" si="0"/>
        <v>79</v>
      </c>
      <c r="I55" s="24" t="s">
        <v>189</v>
      </c>
      <c r="J55" s="12">
        <f t="shared" si="2"/>
        <v>121</v>
      </c>
      <c r="K55" s="12" t="s">
        <v>21</v>
      </c>
      <c r="L55" s="12">
        <v>2</v>
      </c>
      <c r="M55" s="12">
        <v>1</v>
      </c>
      <c r="N55" s="12" t="s">
        <v>13</v>
      </c>
      <c r="O55" s="30"/>
      <c r="P55" s="31"/>
    </row>
    <row r="56" ht="20.25" spans="1:16">
      <c r="A56" s="16"/>
      <c r="B56" s="16"/>
      <c r="C56" s="28"/>
      <c r="D56" s="19" t="s">
        <v>190</v>
      </c>
      <c r="E56" s="20" t="s">
        <v>191</v>
      </c>
      <c r="F56" s="21">
        <v>1</v>
      </c>
      <c r="G56" s="22" t="s">
        <v>19</v>
      </c>
      <c r="H56" s="23" t="str">
        <f t="shared" si="0"/>
        <v>7A</v>
      </c>
      <c r="I56" s="24" t="s">
        <v>192</v>
      </c>
      <c r="J56" s="12">
        <f t="shared" si="2"/>
        <v>122</v>
      </c>
      <c r="K56" s="12" t="s">
        <v>21</v>
      </c>
      <c r="L56" s="12">
        <v>2</v>
      </c>
      <c r="M56" s="12">
        <v>1</v>
      </c>
      <c r="N56" s="12" t="s">
        <v>13</v>
      </c>
      <c r="O56" s="30"/>
      <c r="P56" s="31"/>
    </row>
    <row r="57" ht="20.25" spans="1:16">
      <c r="A57" s="16"/>
      <c r="B57" s="16"/>
      <c r="C57" s="28"/>
      <c r="D57" s="19" t="s">
        <v>193</v>
      </c>
      <c r="E57" s="20" t="s">
        <v>194</v>
      </c>
      <c r="F57" s="21">
        <v>1</v>
      </c>
      <c r="G57" s="22" t="s">
        <v>19</v>
      </c>
      <c r="H57" s="23" t="str">
        <f t="shared" si="0"/>
        <v>7B</v>
      </c>
      <c r="I57" s="24" t="s">
        <v>195</v>
      </c>
      <c r="J57" s="12">
        <f t="shared" si="2"/>
        <v>123</v>
      </c>
      <c r="K57" s="12" t="s">
        <v>21</v>
      </c>
      <c r="L57" s="12">
        <v>2</v>
      </c>
      <c r="M57" s="12">
        <v>1</v>
      </c>
      <c r="N57" s="12" t="s">
        <v>13</v>
      </c>
      <c r="O57" s="30"/>
      <c r="P57" s="31"/>
    </row>
    <row r="58" ht="20.25" spans="1:16">
      <c r="A58" s="16"/>
      <c r="B58" s="16"/>
      <c r="C58" s="28"/>
      <c r="D58" s="19" t="s">
        <v>196</v>
      </c>
      <c r="E58" s="20" t="s">
        <v>197</v>
      </c>
      <c r="F58" s="21">
        <v>1</v>
      </c>
      <c r="G58" s="22" t="s">
        <v>19</v>
      </c>
      <c r="H58" s="23" t="str">
        <f t="shared" si="0"/>
        <v>7C</v>
      </c>
      <c r="I58" s="24" t="s">
        <v>198</v>
      </c>
      <c r="J58" s="12">
        <f t="shared" si="2"/>
        <v>124</v>
      </c>
      <c r="K58" s="12" t="s">
        <v>21</v>
      </c>
      <c r="L58" s="12">
        <v>2</v>
      </c>
      <c r="M58" s="12">
        <v>1</v>
      </c>
      <c r="N58" s="12" t="s">
        <v>13</v>
      </c>
      <c r="O58" s="30"/>
      <c r="P58" s="31"/>
    </row>
    <row r="59" ht="20.25" spans="1:16">
      <c r="A59" s="16"/>
      <c r="B59" s="16"/>
      <c r="C59" s="28"/>
      <c r="D59" s="19" t="s">
        <v>199</v>
      </c>
      <c r="E59" s="20" t="s">
        <v>200</v>
      </c>
      <c r="F59" s="21">
        <v>4</v>
      </c>
      <c r="G59" s="22" t="s">
        <v>19</v>
      </c>
      <c r="H59" s="23" t="str">
        <f t="shared" si="0"/>
        <v>7D</v>
      </c>
      <c r="I59" s="24" t="s">
        <v>201</v>
      </c>
      <c r="J59" s="12">
        <f t="shared" si="2"/>
        <v>125</v>
      </c>
      <c r="K59" s="12" t="s">
        <v>21</v>
      </c>
      <c r="L59" s="12">
        <v>2</v>
      </c>
      <c r="M59" s="12">
        <v>1</v>
      </c>
      <c r="N59" s="12" t="s">
        <v>13</v>
      </c>
      <c r="O59" s="30"/>
      <c r="P59" s="31"/>
    </row>
    <row r="60" ht="20.25" spans="1:16">
      <c r="A60" s="16"/>
      <c r="B60" s="16"/>
      <c r="C60" s="28"/>
      <c r="D60" s="19" t="s">
        <v>202</v>
      </c>
      <c r="E60" s="20" t="s">
        <v>203</v>
      </c>
      <c r="F60" s="21">
        <v>4</v>
      </c>
      <c r="G60" s="22" t="s">
        <v>19</v>
      </c>
      <c r="H60" s="23" t="str">
        <f t="shared" si="0"/>
        <v>81</v>
      </c>
      <c r="I60" s="24" t="s">
        <v>204</v>
      </c>
      <c r="J60" s="12">
        <f t="shared" si="2"/>
        <v>129</v>
      </c>
      <c r="K60" s="12" t="s">
        <v>21</v>
      </c>
      <c r="L60" s="12">
        <v>2</v>
      </c>
      <c r="M60" s="12">
        <v>1</v>
      </c>
      <c r="N60" s="12" t="s">
        <v>13</v>
      </c>
      <c r="O60" s="30"/>
      <c r="P60" s="31"/>
    </row>
    <row r="61" ht="20.25" spans="1:16">
      <c r="A61" s="16"/>
      <c r="B61" s="16"/>
      <c r="C61" s="28"/>
      <c r="D61" s="19" t="s">
        <v>205</v>
      </c>
      <c r="E61" s="20" t="s">
        <v>206</v>
      </c>
      <c r="F61" s="21">
        <v>4</v>
      </c>
      <c r="G61" s="22" t="s">
        <v>19</v>
      </c>
      <c r="H61" s="23" t="str">
        <f t="shared" si="0"/>
        <v>85</v>
      </c>
      <c r="I61" s="24" t="s">
        <v>207</v>
      </c>
      <c r="J61" s="12">
        <f t="shared" si="2"/>
        <v>133</v>
      </c>
      <c r="K61" s="12" t="s">
        <v>21</v>
      </c>
      <c r="L61" s="12">
        <v>2</v>
      </c>
      <c r="M61" s="12">
        <v>1</v>
      </c>
      <c r="N61" s="12" t="s">
        <v>13</v>
      </c>
      <c r="O61" s="30"/>
      <c r="P61" s="31"/>
    </row>
    <row r="62" ht="20.25" spans="1:16">
      <c r="A62" s="16"/>
      <c r="B62" s="16"/>
      <c r="C62" s="28"/>
      <c r="D62" s="19" t="s">
        <v>208</v>
      </c>
      <c r="E62" s="20" t="s">
        <v>209</v>
      </c>
      <c r="F62" s="21">
        <v>1</v>
      </c>
      <c r="G62" s="22" t="s">
        <v>19</v>
      </c>
      <c r="H62" s="23" t="str">
        <f t="shared" si="0"/>
        <v>89</v>
      </c>
      <c r="I62" s="24" t="s">
        <v>210</v>
      </c>
      <c r="J62" s="12">
        <f t="shared" si="2"/>
        <v>137</v>
      </c>
      <c r="K62" s="12" t="s">
        <v>21</v>
      </c>
      <c r="L62" s="12">
        <v>2</v>
      </c>
      <c r="M62" s="12">
        <v>1</v>
      </c>
      <c r="N62" s="12" t="s">
        <v>13</v>
      </c>
      <c r="O62" s="30"/>
      <c r="P62" s="31"/>
    </row>
    <row r="63" ht="24" customHeight="1" spans="1:16">
      <c r="A63" s="16"/>
      <c r="B63" s="16"/>
      <c r="C63" s="28"/>
      <c r="D63" s="19" t="s">
        <v>211</v>
      </c>
      <c r="E63" s="20" t="s">
        <v>212</v>
      </c>
      <c r="F63" s="21">
        <v>1</v>
      </c>
      <c r="G63" s="22" t="s">
        <v>19</v>
      </c>
      <c r="H63" s="23" t="str">
        <f t="shared" si="0"/>
        <v>8A</v>
      </c>
      <c r="I63" s="24" t="s">
        <v>213</v>
      </c>
      <c r="J63" s="12">
        <f t="shared" si="2"/>
        <v>138</v>
      </c>
      <c r="K63" s="12" t="s">
        <v>21</v>
      </c>
      <c r="L63" s="12">
        <v>2</v>
      </c>
      <c r="M63" s="12">
        <v>1</v>
      </c>
      <c r="N63" s="12" t="s">
        <v>13</v>
      </c>
      <c r="O63" s="35"/>
      <c r="P63" s="36" t="s">
        <v>214</v>
      </c>
    </row>
    <row r="64" ht="20.25" spans="1:16">
      <c r="A64" s="16"/>
      <c r="B64" s="16"/>
      <c r="C64" s="28"/>
      <c r="D64" s="19" t="s">
        <v>215</v>
      </c>
      <c r="E64" s="20" t="s">
        <v>216</v>
      </c>
      <c r="F64" s="21">
        <v>1</v>
      </c>
      <c r="G64" s="22" t="s">
        <v>19</v>
      </c>
      <c r="H64" s="23" t="str">
        <f t="shared" si="0"/>
        <v>8B</v>
      </c>
      <c r="I64" s="24" t="s">
        <v>217</v>
      </c>
      <c r="J64" s="12">
        <f t="shared" si="2"/>
        <v>139</v>
      </c>
      <c r="K64" s="12" t="s">
        <v>21</v>
      </c>
      <c r="L64" s="12">
        <v>2</v>
      </c>
      <c r="M64" s="12">
        <v>1</v>
      </c>
      <c r="N64" s="12" t="s">
        <v>13</v>
      </c>
      <c r="O64" s="30"/>
      <c r="P64" s="31"/>
    </row>
    <row r="65" ht="20.25" spans="1:16">
      <c r="A65" s="16"/>
      <c r="B65" s="16"/>
      <c r="C65" s="28"/>
      <c r="D65" s="19" t="s">
        <v>218</v>
      </c>
      <c r="E65" s="20" t="s">
        <v>219</v>
      </c>
      <c r="F65" s="21">
        <v>1</v>
      </c>
      <c r="G65" s="22" t="s">
        <v>19</v>
      </c>
      <c r="H65" s="23" t="str">
        <f t="shared" si="0"/>
        <v>8C</v>
      </c>
      <c r="I65" s="24" t="s">
        <v>220</v>
      </c>
      <c r="J65" s="12">
        <f t="shared" si="2"/>
        <v>140</v>
      </c>
      <c r="K65" s="12" t="s">
        <v>21</v>
      </c>
      <c r="L65" s="12">
        <v>2</v>
      </c>
      <c r="M65" s="12">
        <v>1</v>
      </c>
      <c r="N65" s="12" t="s">
        <v>13</v>
      </c>
      <c r="O65" s="30"/>
      <c r="P65" s="31"/>
    </row>
    <row r="66" ht="20.25" spans="1:16">
      <c r="A66" s="16"/>
      <c r="B66" s="16"/>
      <c r="C66" s="28"/>
      <c r="D66" s="19" t="s">
        <v>221</v>
      </c>
      <c r="E66" s="20" t="s">
        <v>222</v>
      </c>
      <c r="F66" s="21">
        <v>1</v>
      </c>
      <c r="G66" s="22" t="s">
        <v>19</v>
      </c>
      <c r="H66" s="23" t="str">
        <f t="shared" si="0"/>
        <v>8D</v>
      </c>
      <c r="I66" s="24" t="s">
        <v>223</v>
      </c>
      <c r="J66" s="12">
        <f t="shared" si="2"/>
        <v>141</v>
      </c>
      <c r="K66" s="12" t="s">
        <v>21</v>
      </c>
      <c r="L66" s="12">
        <v>2</v>
      </c>
      <c r="M66" s="12">
        <v>1</v>
      </c>
      <c r="N66" s="12" t="s">
        <v>13</v>
      </c>
      <c r="O66" s="30"/>
      <c r="P66" s="31"/>
    </row>
    <row r="67" ht="20.25" spans="1:16">
      <c r="A67" s="16"/>
      <c r="B67" s="16"/>
      <c r="C67" s="28"/>
      <c r="D67" s="19" t="s">
        <v>224</v>
      </c>
      <c r="E67" s="20" t="s">
        <v>225</v>
      </c>
      <c r="F67" s="21">
        <v>1</v>
      </c>
      <c r="G67" s="22" t="s">
        <v>19</v>
      </c>
      <c r="H67" s="23" t="str">
        <f t="shared" si="0"/>
        <v>8E</v>
      </c>
      <c r="I67" s="24" t="s">
        <v>226</v>
      </c>
      <c r="J67" s="12">
        <f t="shared" si="2"/>
        <v>142</v>
      </c>
      <c r="K67" s="12" t="s">
        <v>21</v>
      </c>
      <c r="L67" s="12">
        <v>2</v>
      </c>
      <c r="M67" s="12">
        <v>1</v>
      </c>
      <c r="N67" s="12" t="s">
        <v>13</v>
      </c>
      <c r="O67" s="30"/>
      <c r="P67" s="31"/>
    </row>
    <row r="68" ht="20.25" spans="1:16">
      <c r="A68" s="16"/>
      <c r="B68" s="16"/>
      <c r="C68" s="28"/>
      <c r="D68" s="19" t="s">
        <v>227</v>
      </c>
      <c r="E68" s="20" t="s">
        <v>228</v>
      </c>
      <c r="F68" s="21">
        <v>2</v>
      </c>
      <c r="G68" s="22" t="s">
        <v>19</v>
      </c>
      <c r="H68" s="23" t="str">
        <f t="shared" ref="H68:H80" si="3">DEC2HEX(J68)</f>
        <v>8F</v>
      </c>
      <c r="I68" s="24" t="s">
        <v>229</v>
      </c>
      <c r="J68" s="12">
        <f t="shared" si="2"/>
        <v>143</v>
      </c>
      <c r="K68" s="12" t="s">
        <v>21</v>
      </c>
      <c r="L68" s="12">
        <v>2</v>
      </c>
      <c r="M68" s="12">
        <v>1</v>
      </c>
      <c r="N68" s="12" t="s">
        <v>13</v>
      </c>
      <c r="O68" s="30"/>
      <c r="P68" s="31"/>
    </row>
    <row r="69" ht="20.25" spans="1:16">
      <c r="A69" s="16"/>
      <c r="B69" s="16"/>
      <c r="C69" s="28"/>
      <c r="D69" s="19" t="s">
        <v>230</v>
      </c>
      <c r="E69" s="20" t="s">
        <v>231</v>
      </c>
      <c r="F69" s="21">
        <v>1</v>
      </c>
      <c r="G69" s="22" t="s">
        <v>19</v>
      </c>
      <c r="H69" s="23" t="str">
        <f t="shared" si="3"/>
        <v>91</v>
      </c>
      <c r="I69" s="24" t="s">
        <v>232</v>
      </c>
      <c r="J69" s="12">
        <f t="shared" si="2"/>
        <v>145</v>
      </c>
      <c r="K69" s="12" t="s">
        <v>21</v>
      </c>
      <c r="L69" s="12">
        <v>2</v>
      </c>
      <c r="M69" s="12">
        <v>1</v>
      </c>
      <c r="N69" s="12" t="s">
        <v>13</v>
      </c>
      <c r="O69" s="30"/>
      <c r="P69" s="31"/>
    </row>
    <row r="70" ht="20.25" spans="1:16">
      <c r="A70" s="16"/>
      <c r="B70" s="16"/>
      <c r="C70" s="28"/>
      <c r="D70" s="19" t="s">
        <v>233</v>
      </c>
      <c r="E70" s="20" t="s">
        <v>234</v>
      </c>
      <c r="F70" s="21">
        <v>1</v>
      </c>
      <c r="G70" s="22" t="s">
        <v>19</v>
      </c>
      <c r="H70" s="23" t="str">
        <f t="shared" si="3"/>
        <v>92</v>
      </c>
      <c r="I70" s="19" t="s">
        <v>235</v>
      </c>
      <c r="J70" s="12">
        <f t="shared" si="2"/>
        <v>146</v>
      </c>
      <c r="K70" s="12" t="s">
        <v>21</v>
      </c>
      <c r="L70" s="12">
        <v>2</v>
      </c>
      <c r="M70" s="12">
        <v>1</v>
      </c>
      <c r="N70" s="12" t="s">
        <v>13</v>
      </c>
      <c r="O70" s="30"/>
      <c r="P70" s="31"/>
    </row>
    <row r="71" ht="20.25" spans="1:16">
      <c r="A71" s="16"/>
      <c r="B71" s="16"/>
      <c r="C71" s="28"/>
      <c r="D71" s="19" t="s">
        <v>236</v>
      </c>
      <c r="E71" s="20" t="s">
        <v>237</v>
      </c>
      <c r="F71" s="21">
        <v>1</v>
      </c>
      <c r="G71" s="22" t="s">
        <v>19</v>
      </c>
      <c r="H71" s="23" t="str">
        <f t="shared" si="3"/>
        <v>93</v>
      </c>
      <c r="I71" s="19" t="s">
        <v>238</v>
      </c>
      <c r="J71" s="12">
        <f t="shared" si="2"/>
        <v>147</v>
      </c>
      <c r="K71" s="12" t="s">
        <v>21</v>
      </c>
      <c r="L71" s="12">
        <v>2</v>
      </c>
      <c r="M71" s="12">
        <v>1</v>
      </c>
      <c r="N71" s="12" t="s">
        <v>13</v>
      </c>
      <c r="O71" s="30"/>
      <c r="P71" s="31"/>
    </row>
    <row r="72" ht="20.25" spans="1:16">
      <c r="A72" s="16"/>
      <c r="B72" s="16"/>
      <c r="C72" s="28"/>
      <c r="D72" s="19" t="s">
        <v>239</v>
      </c>
      <c r="E72" s="20" t="s">
        <v>240</v>
      </c>
      <c r="F72" s="21">
        <v>1</v>
      </c>
      <c r="G72" s="22" t="s">
        <v>19</v>
      </c>
      <c r="H72" s="23" t="str">
        <f t="shared" si="3"/>
        <v>94</v>
      </c>
      <c r="I72" s="19" t="s">
        <v>241</v>
      </c>
      <c r="J72" s="12">
        <f t="shared" si="2"/>
        <v>148</v>
      </c>
      <c r="K72" s="12" t="s">
        <v>21</v>
      </c>
      <c r="L72" s="12">
        <v>2</v>
      </c>
      <c r="M72" s="12">
        <v>1</v>
      </c>
      <c r="N72" s="12" t="s">
        <v>13</v>
      </c>
      <c r="O72" s="30"/>
      <c r="P72" s="31"/>
    </row>
    <row r="73" ht="20.25" spans="1:16">
      <c r="A73" s="16"/>
      <c r="B73" s="16"/>
      <c r="C73" s="28"/>
      <c r="D73" s="19" t="s">
        <v>242</v>
      </c>
      <c r="E73" s="20" t="s">
        <v>243</v>
      </c>
      <c r="F73" s="21">
        <v>1</v>
      </c>
      <c r="G73" s="22" t="s">
        <v>19</v>
      </c>
      <c r="H73" s="23" t="str">
        <f t="shared" si="3"/>
        <v>95</v>
      </c>
      <c r="I73" s="19" t="s">
        <v>244</v>
      </c>
      <c r="J73" s="12">
        <f t="shared" si="2"/>
        <v>149</v>
      </c>
      <c r="K73" s="12" t="s">
        <v>21</v>
      </c>
      <c r="L73" s="12">
        <v>2</v>
      </c>
      <c r="M73" s="12">
        <v>1</v>
      </c>
      <c r="N73" s="12" t="s">
        <v>13</v>
      </c>
      <c r="O73" s="30"/>
      <c r="P73" s="31"/>
    </row>
    <row r="74" ht="20.25" spans="1:16">
      <c r="A74" s="16"/>
      <c r="B74" s="16"/>
      <c r="C74" s="28"/>
      <c r="D74" s="19" t="s">
        <v>245</v>
      </c>
      <c r="E74" s="20" t="s">
        <v>246</v>
      </c>
      <c r="F74" s="21">
        <v>1</v>
      </c>
      <c r="G74" s="22" t="s">
        <v>19</v>
      </c>
      <c r="H74" s="23" t="str">
        <f t="shared" si="3"/>
        <v>96</v>
      </c>
      <c r="I74" s="19" t="s">
        <v>247</v>
      </c>
      <c r="J74" s="12">
        <f t="shared" si="2"/>
        <v>150</v>
      </c>
      <c r="K74" s="12" t="s">
        <v>21</v>
      </c>
      <c r="L74" s="12">
        <v>2</v>
      </c>
      <c r="M74" s="12">
        <v>1</v>
      </c>
      <c r="N74" s="12" t="s">
        <v>13</v>
      </c>
      <c r="O74" s="30"/>
      <c r="P74" s="31"/>
    </row>
    <row r="75" ht="20.25" spans="1:16">
      <c r="A75" s="16"/>
      <c r="B75" s="16"/>
      <c r="C75" s="28"/>
      <c r="D75" s="19" t="s">
        <v>248</v>
      </c>
      <c r="E75" s="20" t="s">
        <v>249</v>
      </c>
      <c r="F75" s="21">
        <v>1</v>
      </c>
      <c r="G75" s="22" t="s">
        <v>19</v>
      </c>
      <c r="H75" s="23" t="str">
        <f t="shared" si="3"/>
        <v>97</v>
      </c>
      <c r="I75" s="19" t="s">
        <v>248</v>
      </c>
      <c r="J75" s="12">
        <f t="shared" si="2"/>
        <v>151</v>
      </c>
      <c r="K75" s="12" t="s">
        <v>21</v>
      </c>
      <c r="L75" s="12">
        <v>2</v>
      </c>
      <c r="M75" s="12">
        <v>1</v>
      </c>
      <c r="N75" s="12" t="s">
        <v>13</v>
      </c>
      <c r="O75" s="30"/>
      <c r="P75" s="31"/>
    </row>
    <row r="76" ht="20.25" spans="1:16">
      <c r="A76" s="16"/>
      <c r="B76" s="16"/>
      <c r="C76" s="28"/>
      <c r="D76" s="19" t="s">
        <v>250</v>
      </c>
      <c r="E76" s="20" t="s">
        <v>251</v>
      </c>
      <c r="F76" s="21">
        <v>1</v>
      </c>
      <c r="G76" s="22" t="s">
        <v>19</v>
      </c>
      <c r="H76" s="23" t="str">
        <f t="shared" si="3"/>
        <v>98</v>
      </c>
      <c r="I76" s="19" t="s">
        <v>250</v>
      </c>
      <c r="J76" s="12">
        <f t="shared" si="2"/>
        <v>152</v>
      </c>
      <c r="K76" s="12" t="s">
        <v>21</v>
      </c>
      <c r="L76" s="12">
        <v>2</v>
      </c>
      <c r="M76" s="12">
        <v>1</v>
      </c>
      <c r="N76" s="12" t="s">
        <v>13</v>
      </c>
      <c r="O76" s="30"/>
      <c r="P76" s="31"/>
    </row>
    <row r="77" ht="20.25" spans="1:16">
      <c r="A77" s="16"/>
      <c r="B77" s="16"/>
      <c r="C77" s="28"/>
      <c r="D77" s="19" t="s">
        <v>252</v>
      </c>
      <c r="E77" s="20" t="s">
        <v>253</v>
      </c>
      <c r="F77" s="21">
        <v>1</v>
      </c>
      <c r="G77" s="22" t="s">
        <v>19</v>
      </c>
      <c r="H77" s="23" t="str">
        <f t="shared" si="3"/>
        <v>99</v>
      </c>
      <c r="I77" s="19" t="s">
        <v>252</v>
      </c>
      <c r="J77" s="12">
        <f t="shared" si="2"/>
        <v>153</v>
      </c>
      <c r="K77" s="12" t="s">
        <v>21</v>
      </c>
      <c r="L77" s="12">
        <v>2</v>
      </c>
      <c r="M77" s="12">
        <v>1</v>
      </c>
      <c r="N77" s="12" t="s">
        <v>13</v>
      </c>
      <c r="O77" s="30"/>
      <c r="P77" s="31"/>
    </row>
    <row r="78" ht="20.25" spans="1:16">
      <c r="A78" s="16"/>
      <c r="B78" s="16"/>
      <c r="C78" s="28"/>
      <c r="D78" s="19" t="s">
        <v>254</v>
      </c>
      <c r="E78" s="20" t="s">
        <v>255</v>
      </c>
      <c r="F78" s="21">
        <v>1</v>
      </c>
      <c r="G78" s="22" t="s">
        <v>19</v>
      </c>
      <c r="H78" s="23" t="str">
        <f t="shared" si="3"/>
        <v>9A</v>
      </c>
      <c r="I78" s="19" t="s">
        <v>254</v>
      </c>
      <c r="J78" s="12">
        <f t="shared" si="2"/>
        <v>154</v>
      </c>
      <c r="K78" s="12" t="s">
        <v>21</v>
      </c>
      <c r="L78" s="12">
        <v>2</v>
      </c>
      <c r="M78" s="12">
        <v>1</v>
      </c>
      <c r="N78" s="12" t="s">
        <v>13</v>
      </c>
      <c r="O78" s="30"/>
      <c r="P78" s="31"/>
    </row>
    <row r="79" customFormat="1" ht="20.25" spans="1:16">
      <c r="A79" s="16"/>
      <c r="B79" s="16"/>
      <c r="C79" s="28"/>
      <c r="D79" s="19" t="s">
        <v>256</v>
      </c>
      <c r="E79" s="20" t="s">
        <v>257</v>
      </c>
      <c r="F79" s="21">
        <v>1</v>
      </c>
      <c r="G79" s="22" t="s">
        <v>19</v>
      </c>
      <c r="H79" s="23" t="str">
        <f t="shared" si="3"/>
        <v>9B</v>
      </c>
      <c r="I79" s="19" t="s">
        <v>256</v>
      </c>
      <c r="J79" s="12">
        <f t="shared" si="2"/>
        <v>155</v>
      </c>
      <c r="K79" s="12" t="s">
        <v>21</v>
      </c>
      <c r="L79" s="12">
        <v>2</v>
      </c>
      <c r="M79" s="12">
        <v>1</v>
      </c>
      <c r="N79" s="12" t="s">
        <v>13</v>
      </c>
      <c r="O79" s="30"/>
      <c r="P79" s="31"/>
    </row>
    <row r="80" customFormat="1" ht="20.25" spans="1:16">
      <c r="A80" s="16"/>
      <c r="B80" s="16"/>
      <c r="C80" s="28"/>
      <c r="D80" s="37" t="s">
        <v>258</v>
      </c>
      <c r="E80" s="38" t="s">
        <v>259</v>
      </c>
      <c r="F80" s="21">
        <v>1</v>
      </c>
      <c r="G80" s="22" t="s">
        <v>19</v>
      </c>
      <c r="H80" s="23" t="str">
        <f t="shared" si="3"/>
        <v>9C</v>
      </c>
      <c r="I80" s="37" t="s">
        <v>258</v>
      </c>
      <c r="J80" s="12">
        <f t="shared" si="2"/>
        <v>156</v>
      </c>
      <c r="K80" s="12" t="s">
        <v>21</v>
      </c>
      <c r="L80" s="12">
        <v>2</v>
      </c>
      <c r="M80" s="12">
        <v>1</v>
      </c>
      <c r="N80" s="12" t="s">
        <v>13</v>
      </c>
      <c r="O80" s="30"/>
      <c r="P80" s="31"/>
    </row>
    <row r="81" s="1" customFormat="1" ht="20.25" spans="1:16">
      <c r="A81" s="16"/>
      <c r="B81" s="16"/>
      <c r="C81" s="28"/>
      <c r="D81" s="25" t="s">
        <v>172</v>
      </c>
      <c r="E81" s="25" t="s">
        <v>172</v>
      </c>
      <c r="F81" s="26">
        <v>8</v>
      </c>
      <c r="G81" s="22" t="s">
        <v>19</v>
      </c>
      <c r="H81" s="27" t="str">
        <f t="shared" ref="H81:H118" si="4">DEC2HEX(J81)</f>
        <v>9D</v>
      </c>
      <c r="I81" s="33"/>
      <c r="J81" s="34">
        <f t="shared" si="2"/>
        <v>157</v>
      </c>
      <c r="K81" s="12" t="s">
        <v>21</v>
      </c>
      <c r="L81" s="12">
        <v>2</v>
      </c>
      <c r="M81" s="12">
        <v>1</v>
      </c>
      <c r="N81" s="12" t="s">
        <v>13</v>
      </c>
      <c r="O81" s="30"/>
      <c r="P81" s="31"/>
    </row>
    <row r="82" ht="20.25" spans="1:16">
      <c r="A82" s="16"/>
      <c r="B82" s="17" t="s">
        <v>260</v>
      </c>
      <c r="C82" s="18">
        <f>SUM(F113,J113)-J82</f>
        <v>53</v>
      </c>
      <c r="D82" s="19" t="s">
        <v>261</v>
      </c>
      <c r="E82" s="20" t="s">
        <v>262</v>
      </c>
      <c r="F82" s="21">
        <v>1</v>
      </c>
      <c r="G82" s="22" t="s">
        <v>19</v>
      </c>
      <c r="H82" s="23" t="str">
        <f t="shared" si="4"/>
        <v>A5</v>
      </c>
      <c r="I82" s="24" t="s">
        <v>263</v>
      </c>
      <c r="J82" s="12">
        <f t="shared" ref="J81:J123" si="5">F81+J81</f>
        <v>165</v>
      </c>
      <c r="K82" s="12" t="s">
        <v>21</v>
      </c>
      <c r="L82" s="12">
        <v>2</v>
      </c>
      <c r="M82" s="12">
        <v>1</v>
      </c>
      <c r="N82" s="12" t="s">
        <v>13</v>
      </c>
      <c r="O82" s="30"/>
      <c r="P82" s="31"/>
    </row>
    <row r="83" ht="20.25" spans="1:16">
      <c r="A83" s="16"/>
      <c r="B83" s="17"/>
      <c r="C83" s="18"/>
      <c r="D83" s="19" t="s">
        <v>264</v>
      </c>
      <c r="E83" s="20" t="s">
        <v>265</v>
      </c>
      <c r="F83" s="21">
        <v>1</v>
      </c>
      <c r="G83" s="22" t="s">
        <v>19</v>
      </c>
      <c r="H83" s="23" t="str">
        <f t="shared" si="4"/>
        <v>A6</v>
      </c>
      <c r="I83" s="46" t="s">
        <v>266</v>
      </c>
      <c r="J83" s="12">
        <f t="shared" si="5"/>
        <v>166</v>
      </c>
      <c r="K83" s="12" t="s">
        <v>21</v>
      </c>
      <c r="L83" s="12">
        <v>2</v>
      </c>
      <c r="M83" s="12">
        <v>1</v>
      </c>
      <c r="N83" s="12" t="s">
        <v>13</v>
      </c>
      <c r="O83" s="30"/>
      <c r="P83" s="31"/>
    </row>
    <row r="84" ht="20.25" spans="1:16">
      <c r="A84" s="16"/>
      <c r="B84" s="17"/>
      <c r="C84" s="18"/>
      <c r="D84" s="19" t="s">
        <v>267</v>
      </c>
      <c r="E84" s="20" t="s">
        <v>268</v>
      </c>
      <c r="F84" s="21">
        <v>4</v>
      </c>
      <c r="G84" s="22" t="s">
        <v>19</v>
      </c>
      <c r="H84" s="23" t="str">
        <f t="shared" si="4"/>
        <v>A7</v>
      </c>
      <c r="I84" s="24" t="s">
        <v>269</v>
      </c>
      <c r="J84" s="12">
        <f t="shared" si="5"/>
        <v>167</v>
      </c>
      <c r="K84" s="12" t="s">
        <v>21</v>
      </c>
      <c r="L84" s="12">
        <v>2</v>
      </c>
      <c r="M84" s="12">
        <v>1</v>
      </c>
      <c r="N84" s="12" t="s">
        <v>13</v>
      </c>
      <c r="O84" s="30"/>
      <c r="P84" s="31"/>
    </row>
    <row r="85" ht="20.25" spans="1:16">
      <c r="A85" s="16"/>
      <c r="B85" s="17"/>
      <c r="C85" s="18"/>
      <c r="D85" s="19" t="s">
        <v>270</v>
      </c>
      <c r="E85" s="20" t="s">
        <v>271</v>
      </c>
      <c r="F85" s="21">
        <v>1</v>
      </c>
      <c r="G85" s="22" t="s">
        <v>19</v>
      </c>
      <c r="H85" s="23" t="str">
        <f t="shared" si="4"/>
        <v>AB</v>
      </c>
      <c r="I85" s="24" t="s">
        <v>272</v>
      </c>
      <c r="J85" s="12">
        <f t="shared" si="5"/>
        <v>171</v>
      </c>
      <c r="K85" s="12" t="s">
        <v>21</v>
      </c>
      <c r="L85" s="12">
        <v>2</v>
      </c>
      <c r="M85" s="12">
        <v>1</v>
      </c>
      <c r="N85" s="12" t="s">
        <v>13</v>
      </c>
      <c r="O85" s="30"/>
      <c r="P85" s="31"/>
    </row>
    <row r="86" ht="20.25" spans="1:16">
      <c r="A86" s="16"/>
      <c r="B86" s="17"/>
      <c r="C86" s="18"/>
      <c r="D86" s="19" t="s">
        <v>273</v>
      </c>
      <c r="E86" s="20" t="s">
        <v>274</v>
      </c>
      <c r="F86" s="21">
        <v>1</v>
      </c>
      <c r="G86" s="22" t="s">
        <v>19</v>
      </c>
      <c r="H86" s="39" t="str">
        <f t="shared" si="4"/>
        <v>AC</v>
      </c>
      <c r="I86" s="24" t="s">
        <v>275</v>
      </c>
      <c r="J86" s="12">
        <f t="shared" si="5"/>
        <v>172</v>
      </c>
      <c r="K86" s="12" t="s">
        <v>21</v>
      </c>
      <c r="L86" s="12">
        <v>2</v>
      </c>
      <c r="M86" s="12">
        <v>1</v>
      </c>
      <c r="N86" s="12" t="s">
        <v>13</v>
      </c>
      <c r="O86" s="30"/>
      <c r="P86" s="31"/>
    </row>
    <row r="87" ht="20.25" spans="1:16">
      <c r="A87" s="16"/>
      <c r="B87" s="17"/>
      <c r="C87" s="18"/>
      <c r="D87" s="19" t="s">
        <v>276</v>
      </c>
      <c r="E87" s="20" t="s">
        <v>277</v>
      </c>
      <c r="F87" s="21">
        <v>1</v>
      </c>
      <c r="G87" s="22" t="s">
        <v>19</v>
      </c>
      <c r="H87" s="23" t="str">
        <f t="shared" si="4"/>
        <v>AD</v>
      </c>
      <c r="I87" s="46" t="s">
        <v>278</v>
      </c>
      <c r="J87" s="12">
        <f t="shared" si="5"/>
        <v>173</v>
      </c>
      <c r="K87" s="12" t="s">
        <v>21</v>
      </c>
      <c r="L87" s="12">
        <v>2</v>
      </c>
      <c r="M87" s="12">
        <v>1</v>
      </c>
      <c r="N87" s="12" t="s">
        <v>13</v>
      </c>
      <c r="O87" s="30"/>
      <c r="P87" s="31"/>
    </row>
    <row r="88" ht="20.25" spans="1:16">
      <c r="A88" s="16"/>
      <c r="B88" s="17"/>
      <c r="C88" s="18"/>
      <c r="D88" s="19" t="s">
        <v>279</v>
      </c>
      <c r="E88" s="20" t="s">
        <v>280</v>
      </c>
      <c r="F88" s="21">
        <v>1</v>
      </c>
      <c r="G88" s="22" t="s">
        <v>19</v>
      </c>
      <c r="H88" s="23" t="str">
        <f t="shared" si="4"/>
        <v>AE</v>
      </c>
      <c r="I88" s="46" t="s">
        <v>281</v>
      </c>
      <c r="J88" s="12">
        <f t="shared" si="5"/>
        <v>174</v>
      </c>
      <c r="K88" s="12" t="s">
        <v>21</v>
      </c>
      <c r="L88" s="12">
        <v>2</v>
      </c>
      <c r="M88" s="12">
        <v>1</v>
      </c>
      <c r="N88" s="12" t="s">
        <v>13</v>
      </c>
      <c r="O88" s="30"/>
      <c r="P88" s="31"/>
    </row>
    <row r="89" ht="20.25" spans="1:16">
      <c r="A89" s="16"/>
      <c r="B89" s="17"/>
      <c r="C89" s="18"/>
      <c r="D89" s="19" t="s">
        <v>282</v>
      </c>
      <c r="E89" s="20" t="s">
        <v>283</v>
      </c>
      <c r="F89" s="21">
        <v>4</v>
      </c>
      <c r="G89" s="22" t="s">
        <v>19</v>
      </c>
      <c r="H89" s="23" t="str">
        <f t="shared" si="4"/>
        <v>AF</v>
      </c>
      <c r="I89" s="24" t="s">
        <v>284</v>
      </c>
      <c r="J89" s="12">
        <f t="shared" si="5"/>
        <v>175</v>
      </c>
      <c r="K89" s="12" t="s">
        <v>21</v>
      </c>
      <c r="L89" s="12">
        <v>2</v>
      </c>
      <c r="M89" s="12">
        <v>1</v>
      </c>
      <c r="N89" s="12" t="s">
        <v>13</v>
      </c>
      <c r="O89" s="30"/>
      <c r="P89" s="31"/>
    </row>
    <row r="90" ht="20.25" spans="1:16">
      <c r="A90" s="16"/>
      <c r="B90" s="17"/>
      <c r="C90" s="18"/>
      <c r="D90" s="19" t="s">
        <v>285</v>
      </c>
      <c r="E90" s="20" t="s">
        <v>286</v>
      </c>
      <c r="F90" s="21">
        <v>1</v>
      </c>
      <c r="G90" s="22" t="s">
        <v>19</v>
      </c>
      <c r="H90" s="23" t="str">
        <f t="shared" si="4"/>
        <v>B3</v>
      </c>
      <c r="I90" s="24" t="s">
        <v>287</v>
      </c>
      <c r="J90" s="12">
        <f t="shared" si="5"/>
        <v>179</v>
      </c>
      <c r="K90" s="12" t="s">
        <v>21</v>
      </c>
      <c r="L90" s="12">
        <v>2</v>
      </c>
      <c r="M90" s="12">
        <v>1</v>
      </c>
      <c r="N90" s="12" t="s">
        <v>13</v>
      </c>
      <c r="O90" s="30"/>
      <c r="P90" s="31"/>
    </row>
    <row r="91" ht="20.25" spans="1:16">
      <c r="A91" s="16"/>
      <c r="B91" s="17"/>
      <c r="C91" s="18"/>
      <c r="D91" s="19" t="s">
        <v>288</v>
      </c>
      <c r="E91" s="20" t="s">
        <v>289</v>
      </c>
      <c r="F91" s="21">
        <v>1</v>
      </c>
      <c r="G91" s="22" t="s">
        <v>19</v>
      </c>
      <c r="H91" s="23" t="str">
        <f t="shared" si="4"/>
        <v>B4</v>
      </c>
      <c r="I91" s="24" t="s">
        <v>290</v>
      </c>
      <c r="J91" s="12">
        <f t="shared" si="5"/>
        <v>180</v>
      </c>
      <c r="K91" s="12" t="s">
        <v>21</v>
      </c>
      <c r="L91" s="12">
        <v>2</v>
      </c>
      <c r="M91" s="12">
        <v>1</v>
      </c>
      <c r="N91" s="12" t="s">
        <v>13</v>
      </c>
      <c r="O91" s="30"/>
      <c r="P91" s="31"/>
    </row>
    <row r="92" ht="20.25" spans="1:16">
      <c r="A92" s="16"/>
      <c r="B92" s="17"/>
      <c r="C92" s="18"/>
      <c r="D92" s="19" t="s">
        <v>291</v>
      </c>
      <c r="E92" s="20" t="s">
        <v>292</v>
      </c>
      <c r="F92" s="21">
        <v>1</v>
      </c>
      <c r="G92" s="22" t="s">
        <v>19</v>
      </c>
      <c r="H92" s="23" t="str">
        <f t="shared" si="4"/>
        <v>B5</v>
      </c>
      <c r="I92" s="24" t="s">
        <v>293</v>
      </c>
      <c r="J92" s="12">
        <f t="shared" si="5"/>
        <v>181</v>
      </c>
      <c r="K92" s="12" t="s">
        <v>21</v>
      </c>
      <c r="L92" s="12">
        <v>2</v>
      </c>
      <c r="M92" s="12">
        <v>1</v>
      </c>
      <c r="N92" s="12" t="s">
        <v>13</v>
      </c>
      <c r="O92" s="30"/>
      <c r="P92" s="31"/>
    </row>
    <row r="93" ht="20.25" spans="1:16">
      <c r="A93" s="16"/>
      <c r="B93" s="17"/>
      <c r="C93" s="18"/>
      <c r="D93" s="19" t="s">
        <v>294</v>
      </c>
      <c r="E93" s="20" t="s">
        <v>295</v>
      </c>
      <c r="F93" s="21">
        <v>1</v>
      </c>
      <c r="G93" s="22" t="s">
        <v>19</v>
      </c>
      <c r="H93" s="23" t="str">
        <f t="shared" si="4"/>
        <v>B6</v>
      </c>
      <c r="I93" s="24" t="s">
        <v>296</v>
      </c>
      <c r="J93" s="12">
        <f t="shared" si="5"/>
        <v>182</v>
      </c>
      <c r="K93" s="12" t="s">
        <v>21</v>
      </c>
      <c r="L93" s="12">
        <v>2</v>
      </c>
      <c r="M93" s="12">
        <v>1</v>
      </c>
      <c r="N93" s="12" t="s">
        <v>13</v>
      </c>
      <c r="O93" s="30"/>
      <c r="P93" s="31"/>
    </row>
    <row r="94" ht="20.25" spans="1:16">
      <c r="A94" s="16"/>
      <c r="B94" s="17"/>
      <c r="C94" s="18"/>
      <c r="D94" s="19" t="s">
        <v>297</v>
      </c>
      <c r="E94" s="20" t="s">
        <v>298</v>
      </c>
      <c r="F94" s="21">
        <v>1</v>
      </c>
      <c r="G94" s="22" t="s">
        <v>19</v>
      </c>
      <c r="H94" s="23" t="str">
        <f t="shared" si="4"/>
        <v>B7</v>
      </c>
      <c r="I94" s="24" t="s">
        <v>299</v>
      </c>
      <c r="J94" s="12">
        <f t="shared" si="5"/>
        <v>183</v>
      </c>
      <c r="K94" s="12" t="s">
        <v>21</v>
      </c>
      <c r="L94" s="12">
        <v>2</v>
      </c>
      <c r="M94" s="12">
        <v>1</v>
      </c>
      <c r="N94" s="12" t="s">
        <v>13</v>
      </c>
      <c r="O94" s="30"/>
      <c r="P94" s="31"/>
    </row>
    <row r="95" ht="20.25" spans="1:16">
      <c r="A95" s="16"/>
      <c r="B95" s="17"/>
      <c r="C95" s="18"/>
      <c r="D95" s="19" t="s">
        <v>300</v>
      </c>
      <c r="E95" s="20" t="s">
        <v>301</v>
      </c>
      <c r="F95" s="21">
        <v>1</v>
      </c>
      <c r="G95" s="22" t="s">
        <v>19</v>
      </c>
      <c r="H95" s="23" t="str">
        <f t="shared" si="4"/>
        <v>B8</v>
      </c>
      <c r="I95" s="24" t="s">
        <v>302</v>
      </c>
      <c r="J95" s="12">
        <f t="shared" si="5"/>
        <v>184</v>
      </c>
      <c r="K95" s="12" t="s">
        <v>21</v>
      </c>
      <c r="L95" s="12">
        <v>2</v>
      </c>
      <c r="M95" s="12">
        <v>1</v>
      </c>
      <c r="N95" s="12" t="s">
        <v>13</v>
      </c>
      <c r="O95" s="30"/>
      <c r="P95" s="31"/>
    </row>
    <row r="96" ht="20.25" spans="1:16">
      <c r="A96" s="16"/>
      <c r="B96" s="17"/>
      <c r="C96" s="18"/>
      <c r="D96" s="19" t="s">
        <v>303</v>
      </c>
      <c r="E96" s="20" t="s">
        <v>304</v>
      </c>
      <c r="F96" s="21">
        <v>1</v>
      </c>
      <c r="G96" s="22" t="s">
        <v>19</v>
      </c>
      <c r="H96" s="23" t="str">
        <f t="shared" si="4"/>
        <v>B9</v>
      </c>
      <c r="I96" s="24" t="s">
        <v>305</v>
      </c>
      <c r="J96" s="12">
        <f t="shared" si="5"/>
        <v>185</v>
      </c>
      <c r="K96" s="12" t="s">
        <v>21</v>
      </c>
      <c r="L96" s="12">
        <v>2</v>
      </c>
      <c r="M96" s="12">
        <v>1</v>
      </c>
      <c r="N96" s="12" t="s">
        <v>13</v>
      </c>
      <c r="O96" s="30"/>
      <c r="P96" s="31"/>
    </row>
    <row r="97" ht="20.25" spans="1:16">
      <c r="A97" s="16"/>
      <c r="B97" s="17"/>
      <c r="C97" s="18"/>
      <c r="D97" s="19" t="s">
        <v>306</v>
      </c>
      <c r="E97" s="20" t="s">
        <v>307</v>
      </c>
      <c r="F97" s="21">
        <v>4</v>
      </c>
      <c r="G97" s="22" t="s">
        <v>19</v>
      </c>
      <c r="H97" s="23" t="str">
        <f t="shared" si="4"/>
        <v>BA</v>
      </c>
      <c r="I97" s="24" t="s">
        <v>308</v>
      </c>
      <c r="J97" s="12">
        <f t="shared" si="5"/>
        <v>186</v>
      </c>
      <c r="K97" s="12" t="s">
        <v>21</v>
      </c>
      <c r="L97" s="12">
        <v>2</v>
      </c>
      <c r="M97" s="12">
        <v>1</v>
      </c>
      <c r="N97" s="12" t="s">
        <v>13</v>
      </c>
      <c r="O97" s="30"/>
      <c r="P97" s="31"/>
    </row>
    <row r="98" ht="20.25" spans="1:16">
      <c r="A98" s="16"/>
      <c r="B98" s="17"/>
      <c r="C98" s="18"/>
      <c r="D98" s="19" t="s">
        <v>309</v>
      </c>
      <c r="E98" s="20" t="s">
        <v>310</v>
      </c>
      <c r="F98" s="21">
        <v>1</v>
      </c>
      <c r="G98" s="22" t="s">
        <v>19</v>
      </c>
      <c r="H98" s="23" t="str">
        <f t="shared" si="4"/>
        <v>BE</v>
      </c>
      <c r="I98" s="24" t="s">
        <v>311</v>
      </c>
      <c r="J98" s="12">
        <f t="shared" si="5"/>
        <v>190</v>
      </c>
      <c r="K98" s="12" t="s">
        <v>21</v>
      </c>
      <c r="L98" s="12">
        <v>2</v>
      </c>
      <c r="M98" s="12">
        <v>1</v>
      </c>
      <c r="N98" s="12" t="s">
        <v>13</v>
      </c>
      <c r="O98" s="30"/>
      <c r="P98" s="31"/>
    </row>
    <row r="99" ht="20.25" spans="1:16">
      <c r="A99" s="16"/>
      <c r="B99" s="17"/>
      <c r="C99" s="18"/>
      <c r="D99" s="19" t="s">
        <v>312</v>
      </c>
      <c r="E99" s="20" t="s">
        <v>313</v>
      </c>
      <c r="F99" s="21">
        <v>1</v>
      </c>
      <c r="G99" s="22" t="s">
        <v>19</v>
      </c>
      <c r="H99" s="23" t="str">
        <f t="shared" si="4"/>
        <v>BF</v>
      </c>
      <c r="I99" s="24" t="s">
        <v>314</v>
      </c>
      <c r="J99" s="12">
        <f t="shared" si="5"/>
        <v>191</v>
      </c>
      <c r="K99" s="12" t="s">
        <v>21</v>
      </c>
      <c r="L99" s="12">
        <v>2</v>
      </c>
      <c r="M99" s="12">
        <v>1</v>
      </c>
      <c r="N99" s="12" t="s">
        <v>13</v>
      </c>
      <c r="O99" s="47"/>
      <c r="P99" s="48"/>
    </row>
    <row r="100" ht="20.25" spans="1:16">
      <c r="A100" s="16"/>
      <c r="B100" s="17"/>
      <c r="C100" s="18"/>
      <c r="D100" s="19" t="s">
        <v>315</v>
      </c>
      <c r="E100" s="20" t="s">
        <v>316</v>
      </c>
      <c r="F100" s="21">
        <v>1</v>
      </c>
      <c r="G100" s="22" t="s">
        <v>19</v>
      </c>
      <c r="H100" s="23" t="str">
        <f t="shared" si="4"/>
        <v>C0</v>
      </c>
      <c r="I100" s="24" t="s">
        <v>317</v>
      </c>
      <c r="J100" s="12">
        <f t="shared" si="5"/>
        <v>192</v>
      </c>
      <c r="K100" s="12" t="s">
        <v>21</v>
      </c>
      <c r="L100" s="12">
        <v>2</v>
      </c>
      <c r="M100" s="12">
        <v>1</v>
      </c>
      <c r="N100" s="12" t="s">
        <v>13</v>
      </c>
      <c r="O100" s="49"/>
      <c r="P100" s="48"/>
    </row>
    <row r="101" ht="20.25" spans="1:16">
      <c r="A101" s="16"/>
      <c r="B101" s="17"/>
      <c r="C101" s="18"/>
      <c r="D101" s="19" t="s">
        <v>318</v>
      </c>
      <c r="E101" s="20" t="s">
        <v>319</v>
      </c>
      <c r="F101" s="21">
        <v>1</v>
      </c>
      <c r="G101" s="22" t="s">
        <v>19</v>
      </c>
      <c r="H101" s="23" t="str">
        <f t="shared" si="4"/>
        <v>C1</v>
      </c>
      <c r="I101" s="24" t="s">
        <v>320</v>
      </c>
      <c r="J101" s="12">
        <f t="shared" si="5"/>
        <v>193</v>
      </c>
      <c r="K101" s="12" t="s">
        <v>21</v>
      </c>
      <c r="L101" s="12">
        <v>2</v>
      </c>
      <c r="M101" s="12">
        <v>1</v>
      </c>
      <c r="N101" s="12" t="s">
        <v>13</v>
      </c>
      <c r="O101" s="49"/>
      <c r="P101" s="48"/>
    </row>
    <row r="102" ht="20.25" spans="1:16">
      <c r="A102" s="16"/>
      <c r="B102" s="17"/>
      <c r="C102" s="18"/>
      <c r="D102" s="19" t="s">
        <v>321</v>
      </c>
      <c r="E102" s="20" t="s">
        <v>322</v>
      </c>
      <c r="F102" s="21">
        <v>1</v>
      </c>
      <c r="G102" s="22" t="s">
        <v>19</v>
      </c>
      <c r="H102" s="23" t="str">
        <f t="shared" si="4"/>
        <v>C2</v>
      </c>
      <c r="I102" s="24" t="s">
        <v>323</v>
      </c>
      <c r="J102" s="12">
        <f t="shared" si="5"/>
        <v>194</v>
      </c>
      <c r="K102" s="12" t="s">
        <v>21</v>
      </c>
      <c r="L102" s="12">
        <v>2</v>
      </c>
      <c r="M102" s="12">
        <v>1</v>
      </c>
      <c r="N102" s="12" t="s">
        <v>13</v>
      </c>
      <c r="O102" s="50"/>
      <c r="P102" s="48"/>
    </row>
    <row r="103" ht="20.25" spans="1:16">
      <c r="A103" s="16"/>
      <c r="B103" s="17"/>
      <c r="C103" s="18"/>
      <c r="D103" s="37" t="s">
        <v>324</v>
      </c>
      <c r="E103" s="38" t="s">
        <v>325</v>
      </c>
      <c r="F103" s="21">
        <v>1</v>
      </c>
      <c r="G103" s="22" t="s">
        <v>19</v>
      </c>
      <c r="H103" s="40" t="str">
        <f t="shared" si="4"/>
        <v>C3</v>
      </c>
      <c r="I103" s="51" t="s">
        <v>326</v>
      </c>
      <c r="J103" s="12">
        <f t="shared" si="5"/>
        <v>195</v>
      </c>
      <c r="K103" s="12" t="s">
        <v>21</v>
      </c>
      <c r="L103" s="12">
        <v>2</v>
      </c>
      <c r="M103" s="12">
        <v>1</v>
      </c>
      <c r="N103" s="12" t="s">
        <v>13</v>
      </c>
      <c r="O103" s="30"/>
      <c r="P103" s="31"/>
    </row>
    <row r="104" ht="20.25" spans="1:16">
      <c r="A104" s="16"/>
      <c r="B104" s="17"/>
      <c r="C104" s="18"/>
      <c r="D104" s="37" t="s">
        <v>327</v>
      </c>
      <c r="E104" s="38" t="s">
        <v>328</v>
      </c>
      <c r="F104" s="21">
        <v>1</v>
      </c>
      <c r="G104" s="22" t="s">
        <v>19</v>
      </c>
      <c r="H104" s="40" t="str">
        <f t="shared" si="4"/>
        <v>C4</v>
      </c>
      <c r="I104" s="51" t="s">
        <v>329</v>
      </c>
      <c r="J104" s="12">
        <f t="shared" si="5"/>
        <v>196</v>
      </c>
      <c r="K104" s="12" t="s">
        <v>21</v>
      </c>
      <c r="L104" s="12">
        <v>2</v>
      </c>
      <c r="M104" s="12">
        <v>1</v>
      </c>
      <c r="N104" s="12" t="s">
        <v>13</v>
      </c>
      <c r="O104" s="30"/>
      <c r="P104" s="31"/>
    </row>
    <row r="105" ht="20.25" spans="1:16">
      <c r="A105" s="16"/>
      <c r="B105" s="17"/>
      <c r="C105" s="18"/>
      <c r="D105" s="37" t="s">
        <v>330</v>
      </c>
      <c r="E105" s="38" t="s">
        <v>331</v>
      </c>
      <c r="F105" s="21">
        <v>1</v>
      </c>
      <c r="G105" s="22" t="s">
        <v>19</v>
      </c>
      <c r="H105" s="40" t="str">
        <f t="shared" si="4"/>
        <v>C5</v>
      </c>
      <c r="I105" s="51" t="s">
        <v>332</v>
      </c>
      <c r="J105" s="12">
        <f t="shared" si="5"/>
        <v>197</v>
      </c>
      <c r="K105" s="12" t="s">
        <v>21</v>
      </c>
      <c r="L105" s="12">
        <v>2</v>
      </c>
      <c r="M105" s="12">
        <v>1</v>
      </c>
      <c r="N105" s="12" t="s">
        <v>13</v>
      </c>
      <c r="O105" s="30"/>
      <c r="P105" s="31"/>
    </row>
    <row r="106" ht="20.25" spans="1:16">
      <c r="A106" s="16"/>
      <c r="B106" s="17"/>
      <c r="C106" s="18"/>
      <c r="D106" s="37" t="s">
        <v>333</v>
      </c>
      <c r="E106" s="38" t="s">
        <v>334</v>
      </c>
      <c r="F106" s="21">
        <v>1</v>
      </c>
      <c r="G106" s="22" t="s">
        <v>19</v>
      </c>
      <c r="H106" s="40" t="str">
        <f t="shared" si="4"/>
        <v>C6</v>
      </c>
      <c r="I106" s="51" t="s">
        <v>335</v>
      </c>
      <c r="J106" s="12">
        <f t="shared" si="5"/>
        <v>198</v>
      </c>
      <c r="K106" s="12" t="s">
        <v>21</v>
      </c>
      <c r="L106" s="12">
        <v>2</v>
      </c>
      <c r="M106" s="12">
        <v>1</v>
      </c>
      <c r="N106" s="12" t="s">
        <v>13</v>
      </c>
      <c r="O106" s="30"/>
      <c r="P106" s="31"/>
    </row>
    <row r="107" ht="19" customHeight="1" spans="1:16">
      <c r="A107" s="16"/>
      <c r="B107" s="17"/>
      <c r="C107" s="18"/>
      <c r="D107" s="37" t="s">
        <v>336</v>
      </c>
      <c r="E107" s="38" t="s">
        <v>337</v>
      </c>
      <c r="F107" s="21">
        <v>1</v>
      </c>
      <c r="G107" s="22" t="s">
        <v>19</v>
      </c>
      <c r="H107" s="40" t="str">
        <f t="shared" si="4"/>
        <v>C7</v>
      </c>
      <c r="I107" s="51" t="s">
        <v>338</v>
      </c>
      <c r="J107" s="12">
        <f t="shared" si="5"/>
        <v>199</v>
      </c>
      <c r="K107" s="12" t="s">
        <v>21</v>
      </c>
      <c r="L107" s="12">
        <v>2</v>
      </c>
      <c r="M107" s="12">
        <v>1</v>
      </c>
      <c r="N107" s="12" t="s">
        <v>13</v>
      </c>
      <c r="O107" s="30"/>
      <c r="P107" s="31"/>
    </row>
    <row r="108" ht="20.25" spans="1:16">
      <c r="A108" s="16"/>
      <c r="B108" s="17"/>
      <c r="C108" s="18"/>
      <c r="D108" s="37" t="s">
        <v>339</v>
      </c>
      <c r="E108" s="38" t="s">
        <v>340</v>
      </c>
      <c r="F108" s="21">
        <v>4</v>
      </c>
      <c r="G108" s="22" t="s">
        <v>19</v>
      </c>
      <c r="H108" s="40" t="str">
        <f t="shared" si="4"/>
        <v>C8</v>
      </c>
      <c r="I108" s="51" t="s">
        <v>341</v>
      </c>
      <c r="J108" s="12">
        <f t="shared" si="5"/>
        <v>200</v>
      </c>
      <c r="K108" s="12" t="s">
        <v>21</v>
      </c>
      <c r="L108" s="12">
        <v>2</v>
      </c>
      <c r="M108" s="12">
        <v>1</v>
      </c>
      <c r="N108" s="12" t="s">
        <v>13</v>
      </c>
      <c r="O108" s="30"/>
      <c r="P108" s="31"/>
    </row>
    <row r="109" ht="19" customHeight="1" spans="1:16">
      <c r="A109" s="16"/>
      <c r="B109" s="17"/>
      <c r="C109" s="18"/>
      <c r="D109" s="37" t="s">
        <v>342</v>
      </c>
      <c r="E109" s="38" t="s">
        <v>343</v>
      </c>
      <c r="F109" s="21">
        <v>1</v>
      </c>
      <c r="G109" s="22" t="s">
        <v>19</v>
      </c>
      <c r="H109" s="40" t="str">
        <f t="shared" si="4"/>
        <v>CC</v>
      </c>
      <c r="I109" s="51" t="s">
        <v>338</v>
      </c>
      <c r="J109" s="12">
        <f t="shared" si="5"/>
        <v>204</v>
      </c>
      <c r="K109" s="12" t="s">
        <v>21</v>
      </c>
      <c r="L109" s="12">
        <v>2</v>
      </c>
      <c r="M109" s="12">
        <v>1</v>
      </c>
      <c r="N109" s="12" t="s">
        <v>13</v>
      </c>
      <c r="O109" s="30"/>
      <c r="P109" s="31"/>
    </row>
    <row r="110" ht="20.25" spans="1:16">
      <c r="A110" s="16"/>
      <c r="B110" s="17"/>
      <c r="C110" s="18"/>
      <c r="D110" s="37" t="s">
        <v>344</v>
      </c>
      <c r="E110" s="38" t="s">
        <v>345</v>
      </c>
      <c r="F110" s="21">
        <v>1</v>
      </c>
      <c r="G110" s="22" t="s">
        <v>19</v>
      </c>
      <c r="H110" s="40" t="str">
        <f t="shared" si="4"/>
        <v>CD</v>
      </c>
      <c r="I110" s="51" t="s">
        <v>341</v>
      </c>
      <c r="J110" s="12">
        <f t="shared" si="5"/>
        <v>205</v>
      </c>
      <c r="K110" s="12" t="s">
        <v>21</v>
      </c>
      <c r="L110" s="12">
        <v>2</v>
      </c>
      <c r="M110" s="12">
        <v>1</v>
      </c>
      <c r="N110" s="12" t="s">
        <v>13</v>
      </c>
      <c r="O110" s="30"/>
      <c r="P110" s="31"/>
    </row>
    <row r="111" ht="20.25" spans="1:16">
      <c r="A111" s="16"/>
      <c r="B111" s="17"/>
      <c r="C111" s="18"/>
      <c r="D111" s="37" t="s">
        <v>346</v>
      </c>
      <c r="E111" s="38" t="s">
        <v>347</v>
      </c>
      <c r="F111" s="21">
        <v>2</v>
      </c>
      <c r="G111" s="22" t="s">
        <v>19</v>
      </c>
      <c r="H111" s="40" t="str">
        <f t="shared" si="4"/>
        <v>CE</v>
      </c>
      <c r="I111" s="51" t="s">
        <v>348</v>
      </c>
      <c r="J111" s="12">
        <f t="shared" si="5"/>
        <v>206</v>
      </c>
      <c r="K111" s="12" t="s">
        <v>21</v>
      </c>
      <c r="L111" s="12">
        <v>2</v>
      </c>
      <c r="M111" s="12">
        <v>1</v>
      </c>
      <c r="N111" s="12" t="s">
        <v>13</v>
      </c>
      <c r="O111" s="30"/>
      <c r="P111" s="31"/>
    </row>
    <row r="112" ht="20.25" spans="1:16">
      <c r="A112" s="16"/>
      <c r="B112" s="17"/>
      <c r="C112" s="18"/>
      <c r="D112" s="37" t="s">
        <v>349</v>
      </c>
      <c r="E112" s="38" t="s">
        <v>350</v>
      </c>
      <c r="F112" s="21">
        <v>1</v>
      </c>
      <c r="G112" s="22" t="s">
        <v>19</v>
      </c>
      <c r="H112" s="40" t="str">
        <f t="shared" si="4"/>
        <v>D0</v>
      </c>
      <c r="I112" s="51" t="s">
        <v>351</v>
      </c>
      <c r="J112" s="12">
        <f t="shared" si="5"/>
        <v>208</v>
      </c>
      <c r="K112" s="12" t="s">
        <v>21</v>
      </c>
      <c r="L112" s="12">
        <v>0</v>
      </c>
      <c r="M112" s="12" t="s">
        <v>90</v>
      </c>
      <c r="N112" s="12" t="s">
        <v>352</v>
      </c>
      <c r="O112" s="30" t="s">
        <v>352</v>
      </c>
      <c r="P112" s="31"/>
    </row>
    <row r="113" ht="20.25" spans="1:16">
      <c r="A113" s="16"/>
      <c r="B113" s="17"/>
      <c r="C113" s="18"/>
      <c r="D113" s="25" t="s">
        <v>172</v>
      </c>
      <c r="E113" s="25" t="s">
        <v>172</v>
      </c>
      <c r="F113" s="26">
        <v>9</v>
      </c>
      <c r="G113" s="22" t="s">
        <v>19</v>
      </c>
      <c r="H113" s="27" t="str">
        <f t="shared" si="4"/>
        <v>D1</v>
      </c>
      <c r="I113" s="33"/>
      <c r="J113" s="34">
        <f t="shared" si="5"/>
        <v>209</v>
      </c>
      <c r="K113" s="12" t="s">
        <v>21</v>
      </c>
      <c r="L113" s="12">
        <v>2</v>
      </c>
      <c r="M113" s="12">
        <v>1</v>
      </c>
      <c r="N113" s="12" t="s">
        <v>13</v>
      </c>
      <c r="O113" s="30"/>
      <c r="P113" s="31"/>
    </row>
    <row r="114" ht="20.25" spans="1:16">
      <c r="A114" s="16"/>
      <c r="B114" s="17" t="s">
        <v>353</v>
      </c>
      <c r="C114" s="18">
        <f>SUM(F126,J126)-J114</f>
        <v>25</v>
      </c>
      <c r="D114" s="19" t="s">
        <v>354</v>
      </c>
      <c r="E114" s="20" t="s">
        <v>355</v>
      </c>
      <c r="F114" s="21">
        <v>1</v>
      </c>
      <c r="G114" s="22" t="s">
        <v>19</v>
      </c>
      <c r="H114" s="23" t="str">
        <f t="shared" si="4"/>
        <v>DA</v>
      </c>
      <c r="I114" s="24" t="s">
        <v>356</v>
      </c>
      <c r="J114" s="12">
        <f t="shared" si="5"/>
        <v>218</v>
      </c>
      <c r="K114" s="12" t="s">
        <v>21</v>
      </c>
      <c r="L114" s="12">
        <v>2</v>
      </c>
      <c r="M114" s="12">
        <v>1</v>
      </c>
      <c r="N114" s="12" t="s">
        <v>13</v>
      </c>
      <c r="O114" s="30"/>
      <c r="P114" s="31"/>
    </row>
    <row r="115" ht="20.25" spans="1:16">
      <c r="A115" s="16"/>
      <c r="B115" s="17"/>
      <c r="C115" s="18"/>
      <c r="D115" s="19" t="s">
        <v>357</v>
      </c>
      <c r="E115" s="20" t="s">
        <v>358</v>
      </c>
      <c r="F115" s="21">
        <v>1</v>
      </c>
      <c r="G115" s="22" t="s">
        <v>19</v>
      </c>
      <c r="H115" s="23" t="str">
        <f t="shared" si="4"/>
        <v>DB</v>
      </c>
      <c r="I115" s="24" t="s">
        <v>359</v>
      </c>
      <c r="J115" s="12">
        <f t="shared" si="5"/>
        <v>219</v>
      </c>
      <c r="K115" s="12" t="s">
        <v>21</v>
      </c>
      <c r="L115" s="12">
        <v>2</v>
      </c>
      <c r="M115" s="12">
        <v>1</v>
      </c>
      <c r="N115" s="12" t="s">
        <v>13</v>
      </c>
      <c r="O115" s="30"/>
      <c r="P115" s="31"/>
    </row>
    <row r="116" ht="20.25" spans="1:16">
      <c r="A116" s="16"/>
      <c r="B116" s="17"/>
      <c r="C116" s="18"/>
      <c r="D116" s="19" t="s">
        <v>360</v>
      </c>
      <c r="E116" s="20" t="s">
        <v>361</v>
      </c>
      <c r="F116" s="21">
        <v>2</v>
      </c>
      <c r="G116" s="22" t="s">
        <v>19</v>
      </c>
      <c r="H116" s="23" t="str">
        <f t="shared" si="4"/>
        <v>DC</v>
      </c>
      <c r="I116" s="19" t="s">
        <v>362</v>
      </c>
      <c r="J116" s="12">
        <f t="shared" si="5"/>
        <v>220</v>
      </c>
      <c r="K116" s="12" t="s">
        <v>21</v>
      </c>
      <c r="L116" s="12">
        <v>2</v>
      </c>
      <c r="M116" s="12">
        <v>1</v>
      </c>
      <c r="N116" s="12" t="s">
        <v>13</v>
      </c>
      <c r="O116" s="30"/>
      <c r="P116" s="31"/>
    </row>
    <row r="117" ht="20.25" spans="1:16">
      <c r="A117" s="16"/>
      <c r="B117" s="17"/>
      <c r="C117" s="18"/>
      <c r="D117" s="19" t="s">
        <v>363</v>
      </c>
      <c r="E117" s="20" t="s">
        <v>364</v>
      </c>
      <c r="F117" s="21">
        <v>2</v>
      </c>
      <c r="G117" s="22" t="s">
        <v>19</v>
      </c>
      <c r="H117" s="23" t="str">
        <f t="shared" si="4"/>
        <v>DE</v>
      </c>
      <c r="I117" s="19" t="s">
        <v>365</v>
      </c>
      <c r="J117" s="12">
        <f t="shared" si="5"/>
        <v>222</v>
      </c>
      <c r="K117" s="12" t="s">
        <v>21</v>
      </c>
      <c r="L117" s="12">
        <v>2</v>
      </c>
      <c r="M117" s="12">
        <v>1</v>
      </c>
      <c r="N117" s="12" t="s">
        <v>13</v>
      </c>
      <c r="O117" s="30"/>
      <c r="P117" s="31"/>
    </row>
    <row r="118" ht="20.25" spans="1:16">
      <c r="A118" s="16"/>
      <c r="B118" s="17"/>
      <c r="C118" s="18"/>
      <c r="D118" s="19" t="s">
        <v>366</v>
      </c>
      <c r="E118" s="20" t="s">
        <v>367</v>
      </c>
      <c r="F118" s="21">
        <v>2</v>
      </c>
      <c r="G118" s="22" t="s">
        <v>19</v>
      </c>
      <c r="H118" s="23" t="str">
        <f t="shared" si="4"/>
        <v>E0</v>
      </c>
      <c r="I118" s="19" t="s">
        <v>368</v>
      </c>
      <c r="J118" s="12">
        <f t="shared" si="5"/>
        <v>224</v>
      </c>
      <c r="K118" s="12" t="s">
        <v>21</v>
      </c>
      <c r="L118" s="12">
        <v>2</v>
      </c>
      <c r="M118" s="12">
        <v>1</v>
      </c>
      <c r="N118" s="12" t="s">
        <v>13</v>
      </c>
      <c r="O118" s="30"/>
      <c r="P118" s="31"/>
    </row>
    <row r="119" ht="20.25" spans="1:16">
      <c r="A119" s="16"/>
      <c r="B119" s="17"/>
      <c r="C119" s="18"/>
      <c r="D119" s="19" t="s">
        <v>369</v>
      </c>
      <c r="E119" s="20" t="s">
        <v>370</v>
      </c>
      <c r="F119" s="21">
        <v>1</v>
      </c>
      <c r="G119" s="22" t="s">
        <v>19</v>
      </c>
      <c r="H119" s="23" t="str">
        <f t="shared" ref="H119:H125" si="6">DEC2HEX(J119)</f>
        <v>E2</v>
      </c>
      <c r="I119" s="19" t="s">
        <v>369</v>
      </c>
      <c r="J119" s="12">
        <f t="shared" si="5"/>
        <v>226</v>
      </c>
      <c r="K119" s="12" t="s">
        <v>21</v>
      </c>
      <c r="L119" s="12">
        <v>2</v>
      </c>
      <c r="M119" s="12">
        <v>1</v>
      </c>
      <c r="N119" s="12" t="s">
        <v>13</v>
      </c>
      <c r="O119" s="30"/>
      <c r="P119" s="31"/>
    </row>
    <row r="120" ht="20.25" spans="1:16">
      <c r="A120" s="16"/>
      <c r="B120" s="17"/>
      <c r="C120" s="18"/>
      <c r="D120" s="19" t="s">
        <v>371</v>
      </c>
      <c r="E120" s="20" t="s">
        <v>372</v>
      </c>
      <c r="F120" s="21">
        <v>1</v>
      </c>
      <c r="G120" s="22" t="s">
        <v>19</v>
      </c>
      <c r="H120" s="23" t="str">
        <f t="shared" si="6"/>
        <v>E3</v>
      </c>
      <c r="I120" s="19" t="s">
        <v>371</v>
      </c>
      <c r="J120" s="12">
        <f t="shared" si="5"/>
        <v>227</v>
      </c>
      <c r="K120" s="12" t="s">
        <v>21</v>
      </c>
      <c r="L120" s="12">
        <v>2</v>
      </c>
      <c r="M120" s="12">
        <v>1</v>
      </c>
      <c r="N120" s="12" t="s">
        <v>13</v>
      </c>
      <c r="O120" s="30"/>
      <c r="P120" s="31"/>
    </row>
    <row r="121" ht="20.25" spans="1:16">
      <c r="A121" s="16"/>
      <c r="B121" s="17"/>
      <c r="C121" s="18"/>
      <c r="D121" s="19" t="s">
        <v>373</v>
      </c>
      <c r="E121" s="20" t="s">
        <v>374</v>
      </c>
      <c r="F121" s="21">
        <v>1</v>
      </c>
      <c r="G121" s="22" t="s">
        <v>19</v>
      </c>
      <c r="H121" s="23" t="str">
        <f t="shared" si="6"/>
        <v>E4</v>
      </c>
      <c r="I121" s="19" t="s">
        <v>373</v>
      </c>
      <c r="J121" s="12">
        <f t="shared" si="5"/>
        <v>228</v>
      </c>
      <c r="K121" s="12" t="s">
        <v>21</v>
      </c>
      <c r="L121" s="12">
        <v>2</v>
      </c>
      <c r="M121" s="12">
        <v>1</v>
      </c>
      <c r="N121" s="12" t="s">
        <v>13</v>
      </c>
      <c r="O121" s="30"/>
      <c r="P121" s="31"/>
    </row>
    <row r="122" ht="20.25" spans="1:16">
      <c r="A122" s="16"/>
      <c r="B122" s="17"/>
      <c r="C122" s="18"/>
      <c r="D122" s="19" t="s">
        <v>375</v>
      </c>
      <c r="E122" s="20" t="s">
        <v>376</v>
      </c>
      <c r="F122" s="21">
        <v>1</v>
      </c>
      <c r="G122" s="22" t="s">
        <v>19</v>
      </c>
      <c r="H122" s="23" t="str">
        <f t="shared" si="6"/>
        <v>E5</v>
      </c>
      <c r="I122" s="19" t="s">
        <v>375</v>
      </c>
      <c r="J122" s="12">
        <f t="shared" si="5"/>
        <v>229</v>
      </c>
      <c r="K122" s="12" t="s">
        <v>21</v>
      </c>
      <c r="L122" s="12">
        <v>2</v>
      </c>
      <c r="M122" s="12">
        <v>1</v>
      </c>
      <c r="N122" s="12" t="s">
        <v>13</v>
      </c>
      <c r="O122" s="30"/>
      <c r="P122" s="31"/>
    </row>
    <row r="123" s="2" customFormat="1" ht="20.25" spans="1:15">
      <c r="A123" s="16"/>
      <c r="B123" s="41"/>
      <c r="C123" s="42"/>
      <c r="D123" s="19" t="s">
        <v>377</v>
      </c>
      <c r="E123" s="20" t="s">
        <v>378</v>
      </c>
      <c r="F123" s="21">
        <v>1</v>
      </c>
      <c r="G123" s="22" t="s">
        <v>19</v>
      </c>
      <c r="H123" s="23" t="str">
        <f t="shared" si="6"/>
        <v>E6</v>
      </c>
      <c r="I123" s="19" t="s">
        <v>377</v>
      </c>
      <c r="J123" s="12">
        <f t="shared" si="5"/>
        <v>230</v>
      </c>
      <c r="K123" s="12" t="s">
        <v>21</v>
      </c>
      <c r="L123" s="12">
        <v>2</v>
      </c>
      <c r="M123" s="12">
        <v>1</v>
      </c>
      <c r="N123" s="12" t="s">
        <v>13</v>
      </c>
      <c r="O123" s="52"/>
    </row>
    <row r="124" s="2" customFormat="1" ht="20.25" spans="1:15">
      <c r="A124" s="16"/>
      <c r="B124" s="41"/>
      <c r="C124" s="42"/>
      <c r="D124" s="19" t="s">
        <v>379</v>
      </c>
      <c r="E124" s="20" t="s">
        <v>380</v>
      </c>
      <c r="F124" s="21">
        <v>1</v>
      </c>
      <c r="G124" s="22" t="s">
        <v>19</v>
      </c>
      <c r="H124" s="23" t="str">
        <f t="shared" si="6"/>
        <v>E7</v>
      </c>
      <c r="I124" s="19" t="s">
        <v>379</v>
      </c>
      <c r="J124" s="12">
        <f t="shared" ref="J124:J143" si="7">F123+J123</f>
        <v>231</v>
      </c>
      <c r="K124" s="12" t="s">
        <v>21</v>
      </c>
      <c r="L124" s="12">
        <v>2</v>
      </c>
      <c r="M124" s="12">
        <v>1</v>
      </c>
      <c r="N124" s="12" t="s">
        <v>13</v>
      </c>
      <c r="O124" s="52"/>
    </row>
    <row r="125" s="2" customFormat="1" ht="20.25" spans="1:15">
      <c r="A125" s="16"/>
      <c r="B125" s="41"/>
      <c r="C125" s="42"/>
      <c r="D125" s="19" t="s">
        <v>381</v>
      </c>
      <c r="E125" s="20" t="s">
        <v>382</v>
      </c>
      <c r="F125" s="21">
        <v>1</v>
      </c>
      <c r="G125" s="22" t="s">
        <v>19</v>
      </c>
      <c r="H125" s="23" t="str">
        <f t="shared" si="6"/>
        <v>E8</v>
      </c>
      <c r="I125" s="19" t="s">
        <v>381</v>
      </c>
      <c r="J125" s="12">
        <f t="shared" si="7"/>
        <v>232</v>
      </c>
      <c r="K125" s="12" t="s">
        <v>21</v>
      </c>
      <c r="L125" s="12">
        <v>2</v>
      </c>
      <c r="M125" s="12">
        <v>1</v>
      </c>
      <c r="N125" s="12" t="s">
        <v>13</v>
      </c>
      <c r="O125" s="52"/>
    </row>
    <row r="126" ht="20.25" spans="1:16">
      <c r="A126" s="16"/>
      <c r="B126" s="17"/>
      <c r="C126" s="18"/>
      <c r="D126" s="25" t="s">
        <v>172</v>
      </c>
      <c r="E126" s="25" t="s">
        <v>172</v>
      </c>
      <c r="F126" s="26">
        <v>10</v>
      </c>
      <c r="G126" s="22" t="s">
        <v>19</v>
      </c>
      <c r="H126" s="27" t="str">
        <f t="shared" ref="H126:H145" si="8">DEC2HEX(J126)</f>
        <v>E9</v>
      </c>
      <c r="I126" s="33"/>
      <c r="J126" s="34">
        <f t="shared" si="7"/>
        <v>233</v>
      </c>
      <c r="K126" s="12" t="s">
        <v>21</v>
      </c>
      <c r="L126" s="12">
        <v>2</v>
      </c>
      <c r="M126" s="12">
        <v>1</v>
      </c>
      <c r="N126" s="12" t="s">
        <v>13</v>
      </c>
      <c r="O126" s="30"/>
      <c r="P126" s="31"/>
    </row>
    <row r="127" ht="20.25" spans="1:16">
      <c r="A127" s="16"/>
      <c r="B127" s="43" t="s">
        <v>383</v>
      </c>
      <c r="C127" s="44">
        <f>SUM(F132,J132)-J127</f>
        <v>20</v>
      </c>
      <c r="D127" s="19" t="s">
        <v>384</v>
      </c>
      <c r="E127" s="20" t="s">
        <v>385</v>
      </c>
      <c r="F127" s="21">
        <v>8</v>
      </c>
      <c r="G127" s="22" t="s">
        <v>19</v>
      </c>
      <c r="H127" s="23" t="str">
        <f t="shared" si="8"/>
        <v>F3</v>
      </c>
      <c r="I127" s="19" t="s">
        <v>386</v>
      </c>
      <c r="J127" s="12">
        <f t="shared" si="7"/>
        <v>243</v>
      </c>
      <c r="K127" s="12" t="s">
        <v>72</v>
      </c>
      <c r="L127" s="12">
        <v>2</v>
      </c>
      <c r="M127" s="12">
        <v>1</v>
      </c>
      <c r="N127" s="12" t="s">
        <v>13</v>
      </c>
      <c r="O127" s="30"/>
      <c r="P127" s="31"/>
    </row>
    <row r="128" ht="20.25" spans="1:16">
      <c r="A128" s="16"/>
      <c r="B128" s="16"/>
      <c r="C128" s="45"/>
      <c r="D128" s="19" t="s">
        <v>387</v>
      </c>
      <c r="E128" s="20" t="s">
        <v>388</v>
      </c>
      <c r="F128" s="21">
        <v>8</v>
      </c>
      <c r="G128" s="22" t="s">
        <v>19</v>
      </c>
      <c r="H128" s="23" t="str">
        <f t="shared" si="8"/>
        <v>FB</v>
      </c>
      <c r="I128" s="19" t="s">
        <v>389</v>
      </c>
      <c r="J128" s="12">
        <f t="shared" si="7"/>
        <v>251</v>
      </c>
      <c r="K128" s="12" t="s">
        <v>72</v>
      </c>
      <c r="L128" s="12">
        <v>2</v>
      </c>
      <c r="M128" s="12">
        <v>1</v>
      </c>
      <c r="N128" s="12" t="s">
        <v>13</v>
      </c>
      <c r="O128" s="30"/>
      <c r="P128" s="31"/>
    </row>
    <row r="129" ht="19" customHeight="1" spans="1:16">
      <c r="A129" s="16"/>
      <c r="B129" s="16"/>
      <c r="C129" s="45"/>
      <c r="D129" s="19" t="s">
        <v>390</v>
      </c>
      <c r="E129" s="20" t="s">
        <v>391</v>
      </c>
      <c r="F129" s="21">
        <v>1</v>
      </c>
      <c r="G129" s="22" t="s">
        <v>19</v>
      </c>
      <c r="H129" s="23" t="str">
        <f t="shared" si="8"/>
        <v>103</v>
      </c>
      <c r="I129" s="24" t="s">
        <v>392</v>
      </c>
      <c r="J129" s="12">
        <f t="shared" si="7"/>
        <v>259</v>
      </c>
      <c r="K129" s="12" t="s">
        <v>21</v>
      </c>
      <c r="L129" s="12">
        <v>2</v>
      </c>
      <c r="M129" s="12">
        <v>1</v>
      </c>
      <c r="N129" s="12" t="s">
        <v>13</v>
      </c>
      <c r="O129" s="32"/>
      <c r="P129" s="31"/>
    </row>
    <row r="130" ht="20.25" spans="1:16">
      <c r="A130" s="16"/>
      <c r="B130" s="16"/>
      <c r="C130" s="45"/>
      <c r="D130" s="19" t="s">
        <v>393</v>
      </c>
      <c r="E130" s="20" t="s">
        <v>394</v>
      </c>
      <c r="F130" s="21">
        <v>1</v>
      </c>
      <c r="G130" s="22" t="s">
        <v>19</v>
      </c>
      <c r="H130" s="23" t="str">
        <f t="shared" si="8"/>
        <v>104</v>
      </c>
      <c r="I130" s="24" t="s">
        <v>395</v>
      </c>
      <c r="J130" s="12">
        <f t="shared" si="7"/>
        <v>260</v>
      </c>
      <c r="K130" s="12" t="s">
        <v>21</v>
      </c>
      <c r="L130" s="12">
        <v>2</v>
      </c>
      <c r="M130" s="12">
        <v>1</v>
      </c>
      <c r="N130" s="12" t="s">
        <v>13</v>
      </c>
      <c r="O130" s="32" t="s">
        <v>396</v>
      </c>
      <c r="P130" s="31"/>
    </row>
    <row r="131" ht="20.25" spans="1:16">
      <c r="A131" s="16"/>
      <c r="B131" s="16"/>
      <c r="C131" s="45"/>
      <c r="D131" s="19" t="s">
        <v>397</v>
      </c>
      <c r="E131" s="20" t="s">
        <v>398</v>
      </c>
      <c r="F131" s="21">
        <v>1</v>
      </c>
      <c r="G131" s="22" t="s">
        <v>19</v>
      </c>
      <c r="H131" s="23" t="str">
        <f t="shared" si="8"/>
        <v>105</v>
      </c>
      <c r="I131" s="24" t="s">
        <v>399</v>
      </c>
      <c r="J131" s="12">
        <f t="shared" si="7"/>
        <v>261</v>
      </c>
      <c r="K131" s="12" t="s">
        <v>21</v>
      </c>
      <c r="L131" s="12">
        <v>2</v>
      </c>
      <c r="M131" s="12">
        <v>1</v>
      </c>
      <c r="N131" s="12" t="s">
        <v>13</v>
      </c>
      <c r="O131" s="32" t="s">
        <v>400</v>
      </c>
      <c r="P131" s="31"/>
    </row>
    <row r="132" ht="20.25" spans="1:16">
      <c r="A132" s="16"/>
      <c r="B132" s="53"/>
      <c r="C132" s="54"/>
      <c r="D132" s="55" t="s">
        <v>401</v>
      </c>
      <c r="E132" s="20"/>
      <c r="F132" s="21">
        <v>1</v>
      </c>
      <c r="G132" s="22" t="s">
        <v>19</v>
      </c>
      <c r="H132" s="23" t="str">
        <f t="shared" si="8"/>
        <v>106</v>
      </c>
      <c r="I132" s="30"/>
      <c r="J132" s="12">
        <f t="shared" si="7"/>
        <v>262</v>
      </c>
      <c r="K132" s="12" t="s">
        <v>21</v>
      </c>
      <c r="L132" s="12">
        <v>2</v>
      </c>
      <c r="M132" s="12">
        <v>1</v>
      </c>
      <c r="N132" s="12" t="s">
        <v>13</v>
      </c>
      <c r="O132" s="32"/>
      <c r="P132" s="31"/>
    </row>
    <row r="133" ht="20.25" spans="1:16">
      <c r="A133" s="17" t="s">
        <v>402</v>
      </c>
      <c r="B133" s="43" t="s">
        <v>383</v>
      </c>
      <c r="C133" s="44">
        <f>SUM(F143,J143)-J133</f>
        <v>66</v>
      </c>
      <c r="D133" s="19" t="s">
        <v>403</v>
      </c>
      <c r="E133" s="20" t="s">
        <v>404</v>
      </c>
      <c r="F133" s="21">
        <v>4</v>
      </c>
      <c r="G133" s="22" t="s">
        <v>19</v>
      </c>
      <c r="H133" s="23" t="str">
        <f t="shared" si="8"/>
        <v>107</v>
      </c>
      <c r="I133" s="24" t="s">
        <v>405</v>
      </c>
      <c r="J133" s="12">
        <f t="shared" si="7"/>
        <v>263</v>
      </c>
      <c r="K133" s="12" t="s">
        <v>21</v>
      </c>
      <c r="L133" s="12">
        <v>2</v>
      </c>
      <c r="M133" s="12">
        <v>1</v>
      </c>
      <c r="N133" s="12" t="s">
        <v>13</v>
      </c>
      <c r="O133" s="32"/>
      <c r="P133" s="31"/>
    </row>
    <row r="134" ht="20.25" spans="1:16">
      <c r="A134" s="17"/>
      <c r="B134" s="16"/>
      <c r="C134" s="45"/>
      <c r="D134" s="19" t="s">
        <v>406</v>
      </c>
      <c r="E134" s="20" t="s">
        <v>407</v>
      </c>
      <c r="F134" s="21">
        <v>4</v>
      </c>
      <c r="G134" s="22" t="s">
        <v>19</v>
      </c>
      <c r="H134" s="23" t="str">
        <f t="shared" si="8"/>
        <v>10B</v>
      </c>
      <c r="I134" s="24" t="s">
        <v>408</v>
      </c>
      <c r="J134" s="12">
        <f t="shared" si="7"/>
        <v>267</v>
      </c>
      <c r="K134" s="12" t="s">
        <v>21</v>
      </c>
      <c r="L134" s="12">
        <v>2</v>
      </c>
      <c r="M134" s="12">
        <v>1</v>
      </c>
      <c r="N134" s="12" t="s">
        <v>13</v>
      </c>
      <c r="O134" s="32"/>
      <c r="P134" s="31"/>
    </row>
    <row r="135" ht="20.25" spans="1:16">
      <c r="A135" s="17"/>
      <c r="B135" s="16"/>
      <c r="C135" s="45"/>
      <c r="D135" s="19" t="s">
        <v>409</v>
      </c>
      <c r="E135" s="20" t="s">
        <v>410</v>
      </c>
      <c r="F135" s="21">
        <v>1</v>
      </c>
      <c r="G135" s="22" t="s">
        <v>19</v>
      </c>
      <c r="H135" s="23" t="str">
        <f t="shared" si="8"/>
        <v>10F</v>
      </c>
      <c r="I135" s="24" t="s">
        <v>411</v>
      </c>
      <c r="J135" s="12">
        <f t="shared" si="7"/>
        <v>271</v>
      </c>
      <c r="K135" s="12" t="s">
        <v>21</v>
      </c>
      <c r="L135" s="12">
        <v>2</v>
      </c>
      <c r="M135" s="12">
        <v>1</v>
      </c>
      <c r="N135" s="12" t="s">
        <v>13</v>
      </c>
      <c r="O135" s="32"/>
      <c r="P135" s="31"/>
    </row>
    <row r="136" ht="20.25" spans="1:16">
      <c r="A136" s="17"/>
      <c r="B136" s="16"/>
      <c r="C136" s="45"/>
      <c r="D136" s="19" t="s">
        <v>412</v>
      </c>
      <c r="E136" s="20" t="s">
        <v>413</v>
      </c>
      <c r="F136" s="21">
        <v>1</v>
      </c>
      <c r="G136" s="22" t="s">
        <v>19</v>
      </c>
      <c r="H136" s="23" t="str">
        <f t="shared" si="8"/>
        <v>110</v>
      </c>
      <c r="I136" s="24" t="s">
        <v>414</v>
      </c>
      <c r="J136" s="12">
        <f t="shared" si="7"/>
        <v>272</v>
      </c>
      <c r="K136" s="12" t="s">
        <v>21</v>
      </c>
      <c r="L136" s="12">
        <v>2</v>
      </c>
      <c r="M136" s="12">
        <v>1</v>
      </c>
      <c r="N136" s="12" t="s">
        <v>13</v>
      </c>
      <c r="O136" s="32" t="s">
        <v>400</v>
      </c>
      <c r="P136" s="31"/>
    </row>
    <row r="137" ht="20.25" spans="1:16">
      <c r="A137" s="17"/>
      <c r="B137" s="16"/>
      <c r="C137" s="45"/>
      <c r="D137" s="56" t="s">
        <v>415</v>
      </c>
      <c r="E137" s="20" t="s">
        <v>416</v>
      </c>
      <c r="F137" s="21">
        <v>4</v>
      </c>
      <c r="G137" s="22" t="s">
        <v>19</v>
      </c>
      <c r="H137" s="23" t="str">
        <f t="shared" si="8"/>
        <v>111</v>
      </c>
      <c r="I137" s="24" t="s">
        <v>417</v>
      </c>
      <c r="J137" s="12">
        <f t="shared" si="7"/>
        <v>273</v>
      </c>
      <c r="K137" s="12" t="s">
        <v>21</v>
      </c>
      <c r="L137" s="12">
        <v>2</v>
      </c>
      <c r="M137" s="12">
        <v>1</v>
      </c>
      <c r="N137" s="12" t="s">
        <v>13</v>
      </c>
      <c r="O137" s="32"/>
      <c r="P137" s="31"/>
    </row>
    <row r="138" ht="20.25" spans="1:16">
      <c r="A138" s="17"/>
      <c r="B138" s="16"/>
      <c r="C138" s="45"/>
      <c r="D138" s="56" t="s">
        <v>418</v>
      </c>
      <c r="E138" s="20" t="s">
        <v>419</v>
      </c>
      <c r="F138" s="21">
        <v>4</v>
      </c>
      <c r="G138" s="22" t="s">
        <v>19</v>
      </c>
      <c r="H138" s="23" t="str">
        <f t="shared" si="8"/>
        <v>115</v>
      </c>
      <c r="I138" s="24" t="s">
        <v>420</v>
      </c>
      <c r="J138" s="12">
        <f t="shared" si="7"/>
        <v>277</v>
      </c>
      <c r="K138" s="12" t="s">
        <v>21</v>
      </c>
      <c r="L138" s="12">
        <v>2</v>
      </c>
      <c r="M138" s="12">
        <v>1</v>
      </c>
      <c r="N138" s="12" t="s">
        <v>13</v>
      </c>
      <c r="O138" s="32"/>
      <c r="P138" s="31"/>
    </row>
    <row r="139" ht="20.25" spans="1:16">
      <c r="A139" s="17"/>
      <c r="B139" s="16"/>
      <c r="C139" s="45"/>
      <c r="D139" s="19" t="s">
        <v>421</v>
      </c>
      <c r="E139" s="20" t="s">
        <v>422</v>
      </c>
      <c r="F139" s="21">
        <v>1</v>
      </c>
      <c r="G139" s="22" t="s">
        <v>19</v>
      </c>
      <c r="H139" s="23" t="str">
        <f t="shared" si="8"/>
        <v>119</v>
      </c>
      <c r="I139" s="24" t="s">
        <v>423</v>
      </c>
      <c r="J139" s="12">
        <f t="shared" si="7"/>
        <v>281</v>
      </c>
      <c r="K139" s="12" t="s">
        <v>21</v>
      </c>
      <c r="L139" s="12">
        <v>2</v>
      </c>
      <c r="M139" s="12">
        <v>1</v>
      </c>
      <c r="N139" s="12" t="s">
        <v>13</v>
      </c>
      <c r="O139" s="68" t="s">
        <v>424</v>
      </c>
      <c r="P139" s="31"/>
    </row>
    <row r="140" ht="20.25" spans="1:16">
      <c r="A140" s="17"/>
      <c r="B140" s="16"/>
      <c r="C140" s="45"/>
      <c r="D140" s="56" t="s">
        <v>425</v>
      </c>
      <c r="E140" s="20" t="s">
        <v>426</v>
      </c>
      <c r="F140" s="21">
        <v>8</v>
      </c>
      <c r="G140" s="22" t="s">
        <v>19</v>
      </c>
      <c r="H140" s="23" t="str">
        <f t="shared" si="8"/>
        <v>11A</v>
      </c>
      <c r="I140" s="24" t="s">
        <v>427</v>
      </c>
      <c r="J140" s="12">
        <f t="shared" si="7"/>
        <v>282</v>
      </c>
      <c r="K140" s="12" t="s">
        <v>72</v>
      </c>
      <c r="L140" s="12">
        <v>2</v>
      </c>
      <c r="M140" s="12">
        <v>1</v>
      </c>
      <c r="N140" s="12" t="s">
        <v>13</v>
      </c>
      <c r="O140" s="32"/>
      <c r="P140" s="31"/>
    </row>
    <row r="141" ht="20.25" spans="1:16">
      <c r="A141" s="17"/>
      <c r="B141" s="16"/>
      <c r="C141" s="45"/>
      <c r="D141" s="56" t="s">
        <v>428</v>
      </c>
      <c r="E141" s="20" t="s">
        <v>429</v>
      </c>
      <c r="F141" s="21">
        <v>8</v>
      </c>
      <c r="G141" s="22" t="s">
        <v>19</v>
      </c>
      <c r="H141" s="23" t="str">
        <f t="shared" si="8"/>
        <v>122</v>
      </c>
      <c r="I141" s="24" t="s">
        <v>430</v>
      </c>
      <c r="J141" s="12">
        <f t="shared" si="7"/>
        <v>290</v>
      </c>
      <c r="K141" s="12" t="s">
        <v>72</v>
      </c>
      <c r="L141" s="12">
        <v>2</v>
      </c>
      <c r="M141" s="12">
        <v>1</v>
      </c>
      <c r="N141" s="12" t="s">
        <v>13</v>
      </c>
      <c r="O141" s="32"/>
      <c r="P141" s="31"/>
    </row>
    <row r="142" ht="20.25" spans="1:16">
      <c r="A142" s="17"/>
      <c r="B142" s="16"/>
      <c r="C142" s="45"/>
      <c r="D142" s="56" t="s">
        <v>431</v>
      </c>
      <c r="E142" s="20" t="s">
        <v>432</v>
      </c>
      <c r="F142" s="21">
        <v>1</v>
      </c>
      <c r="G142" s="22" t="s">
        <v>19</v>
      </c>
      <c r="H142" s="23" t="str">
        <f t="shared" si="8"/>
        <v>12A</v>
      </c>
      <c r="I142" s="24"/>
      <c r="J142" s="12">
        <f t="shared" si="7"/>
        <v>298</v>
      </c>
      <c r="K142" s="12" t="s">
        <v>21</v>
      </c>
      <c r="L142" s="12">
        <v>2</v>
      </c>
      <c r="M142" s="12">
        <v>1</v>
      </c>
      <c r="N142" s="12" t="s">
        <v>13</v>
      </c>
      <c r="O142" s="32" t="s">
        <v>424</v>
      </c>
      <c r="P142" s="31"/>
    </row>
    <row r="143" ht="20.25" spans="1:16">
      <c r="A143" s="17"/>
      <c r="B143" s="53"/>
      <c r="C143" s="54"/>
      <c r="D143" s="57" t="s">
        <v>172</v>
      </c>
      <c r="E143" s="25" t="s">
        <v>172</v>
      </c>
      <c r="F143" s="26">
        <v>30</v>
      </c>
      <c r="G143" s="22" t="s">
        <v>19</v>
      </c>
      <c r="H143" s="27" t="str">
        <f t="shared" si="8"/>
        <v>12B</v>
      </c>
      <c r="I143" s="33"/>
      <c r="J143" s="34">
        <f t="shared" si="7"/>
        <v>299</v>
      </c>
      <c r="K143" s="12" t="s">
        <v>21</v>
      </c>
      <c r="L143" s="12">
        <v>2</v>
      </c>
      <c r="M143" s="12">
        <v>1</v>
      </c>
      <c r="N143" s="12" t="s">
        <v>13</v>
      </c>
      <c r="O143" s="32"/>
      <c r="P143" s="31"/>
    </row>
    <row r="144" s="3" customFormat="1" ht="20.25" spans="1:16">
      <c r="A144" s="17"/>
      <c r="B144" s="58" t="s">
        <v>433</v>
      </c>
      <c r="C144" s="59"/>
      <c r="D144" s="60" t="s">
        <v>434</v>
      </c>
      <c r="E144" s="38" t="s">
        <v>435</v>
      </c>
      <c r="F144" s="21">
        <v>1</v>
      </c>
      <c r="G144" s="22" t="s">
        <v>19</v>
      </c>
      <c r="H144" s="40" t="str">
        <f t="shared" si="8"/>
        <v>149</v>
      </c>
      <c r="I144" s="51" t="s">
        <v>436</v>
      </c>
      <c r="J144" s="12">
        <f t="shared" ref="J143:J151" si="9">F143+J143</f>
        <v>329</v>
      </c>
      <c r="K144" s="12" t="s">
        <v>21</v>
      </c>
      <c r="L144" s="12">
        <v>2</v>
      </c>
      <c r="M144" s="12">
        <v>1</v>
      </c>
      <c r="N144" s="12" t="s">
        <v>13</v>
      </c>
      <c r="O144" s="69" t="s">
        <v>424</v>
      </c>
      <c r="P144" s="3" t="s">
        <v>437</v>
      </c>
    </row>
    <row r="145" s="3" customFormat="1" ht="20.25" spans="1:15">
      <c r="A145" s="17"/>
      <c r="B145" s="58"/>
      <c r="C145" s="61"/>
      <c r="D145" s="60" t="s">
        <v>438</v>
      </c>
      <c r="E145" s="38" t="s">
        <v>439</v>
      </c>
      <c r="F145" s="21">
        <v>2</v>
      </c>
      <c r="G145" s="22" t="s">
        <v>19</v>
      </c>
      <c r="H145" s="40" t="str">
        <f t="shared" si="8"/>
        <v>14A</v>
      </c>
      <c r="I145" s="51" t="s">
        <v>440</v>
      </c>
      <c r="J145" s="12">
        <f t="shared" si="9"/>
        <v>330</v>
      </c>
      <c r="K145" s="12" t="s">
        <v>21</v>
      </c>
      <c r="L145" s="12">
        <v>2</v>
      </c>
      <c r="M145" s="12">
        <v>1</v>
      </c>
      <c r="N145" s="12" t="s">
        <v>13</v>
      </c>
      <c r="O145" s="69"/>
    </row>
    <row r="146" customFormat="1" ht="20.25" spans="1:16">
      <c r="A146" s="17"/>
      <c r="B146" s="62"/>
      <c r="C146" s="45"/>
      <c r="D146" s="60" t="s">
        <v>441</v>
      </c>
      <c r="E146" s="38" t="s">
        <v>442</v>
      </c>
      <c r="F146" s="21">
        <v>1</v>
      </c>
      <c r="G146" s="22" t="s">
        <v>19</v>
      </c>
      <c r="H146" s="40" t="str">
        <f t="shared" ref="H146:H151" si="10">DEC2HEX(J146)</f>
        <v>14C</v>
      </c>
      <c r="I146" s="37" t="s">
        <v>443</v>
      </c>
      <c r="J146" s="12">
        <f t="shared" si="9"/>
        <v>332</v>
      </c>
      <c r="K146" s="12" t="s">
        <v>21</v>
      </c>
      <c r="L146" s="12">
        <v>2</v>
      </c>
      <c r="M146" s="12">
        <v>1</v>
      </c>
      <c r="N146" s="12" t="s">
        <v>13</v>
      </c>
      <c r="O146" s="30" t="s">
        <v>424</v>
      </c>
      <c r="P146" s="70" t="s">
        <v>444</v>
      </c>
    </row>
    <row r="147" customFormat="1" ht="20.25" spans="1:16">
      <c r="A147" s="17"/>
      <c r="B147" s="62"/>
      <c r="C147" s="45"/>
      <c r="D147" s="60" t="s">
        <v>445</v>
      </c>
      <c r="E147" s="20" t="s">
        <v>446</v>
      </c>
      <c r="F147" s="21">
        <v>1</v>
      </c>
      <c r="G147" s="22" t="s">
        <v>19</v>
      </c>
      <c r="H147" s="40" t="str">
        <f t="shared" si="10"/>
        <v>14D</v>
      </c>
      <c r="I147" s="37" t="s">
        <v>447</v>
      </c>
      <c r="J147" s="12">
        <f t="shared" si="9"/>
        <v>333</v>
      </c>
      <c r="K147" s="12" t="s">
        <v>21</v>
      </c>
      <c r="L147" s="12">
        <v>2</v>
      </c>
      <c r="M147" s="12">
        <v>1</v>
      </c>
      <c r="N147" s="12" t="s">
        <v>13</v>
      </c>
      <c r="O147" s="30"/>
      <c r="P147" s="70"/>
    </row>
    <row r="148" customFormat="1" ht="20.25" spans="1:16">
      <c r="A148" s="17"/>
      <c r="B148" s="62"/>
      <c r="C148" s="45"/>
      <c r="D148" s="60" t="s">
        <v>448</v>
      </c>
      <c r="E148" s="20" t="s">
        <v>449</v>
      </c>
      <c r="F148" s="21">
        <v>4</v>
      </c>
      <c r="G148" s="22" t="s">
        <v>19</v>
      </c>
      <c r="H148" s="40" t="str">
        <f t="shared" si="10"/>
        <v>14E</v>
      </c>
      <c r="I148" s="37" t="s">
        <v>450</v>
      </c>
      <c r="J148" s="12">
        <f t="shared" si="9"/>
        <v>334</v>
      </c>
      <c r="K148" s="12" t="s">
        <v>180</v>
      </c>
      <c r="L148" s="12">
        <v>2</v>
      </c>
      <c r="M148" s="12">
        <v>1</v>
      </c>
      <c r="N148" s="12" t="s">
        <v>451</v>
      </c>
      <c r="O148" s="30" t="s">
        <v>452</v>
      </c>
      <c r="P148" s="70"/>
    </row>
    <row r="149" customFormat="1" ht="20.25" spans="1:16">
      <c r="A149" s="17"/>
      <c r="B149" s="62"/>
      <c r="C149" s="45"/>
      <c r="D149" s="60" t="s">
        <v>453</v>
      </c>
      <c r="E149" s="20" t="s">
        <v>454</v>
      </c>
      <c r="F149" s="21">
        <v>4</v>
      </c>
      <c r="G149" s="22" t="s">
        <v>19</v>
      </c>
      <c r="H149" s="40" t="str">
        <f t="shared" si="10"/>
        <v>152</v>
      </c>
      <c r="I149" s="37" t="s">
        <v>455</v>
      </c>
      <c r="J149" s="12">
        <f t="shared" si="9"/>
        <v>338</v>
      </c>
      <c r="K149" s="12" t="s">
        <v>180</v>
      </c>
      <c r="L149" s="12">
        <v>2</v>
      </c>
      <c r="M149" s="12">
        <v>1</v>
      </c>
      <c r="N149" s="12" t="s">
        <v>456</v>
      </c>
      <c r="O149" s="30" t="s">
        <v>457</v>
      </c>
      <c r="P149" s="70"/>
    </row>
    <row r="150" customFormat="1" ht="20.25" spans="1:16">
      <c r="A150" s="17"/>
      <c r="B150" s="62"/>
      <c r="C150" s="45"/>
      <c r="D150" s="60" t="s">
        <v>458</v>
      </c>
      <c r="E150" s="20" t="s">
        <v>459</v>
      </c>
      <c r="F150" s="21">
        <v>1</v>
      </c>
      <c r="G150" s="22" t="s">
        <v>19</v>
      </c>
      <c r="H150" s="40" t="str">
        <f t="shared" si="10"/>
        <v>156</v>
      </c>
      <c r="I150" s="37" t="s">
        <v>460</v>
      </c>
      <c r="J150" s="12">
        <f t="shared" si="9"/>
        <v>342</v>
      </c>
      <c r="K150" s="12" t="s">
        <v>21</v>
      </c>
      <c r="L150" s="12">
        <v>2</v>
      </c>
      <c r="M150" s="12">
        <v>1</v>
      </c>
      <c r="N150" s="12" t="s">
        <v>13</v>
      </c>
      <c r="O150" s="30"/>
      <c r="P150" s="70"/>
    </row>
    <row r="151" s="2" customFormat="1" ht="20.25" spans="1:16">
      <c r="A151" s="17"/>
      <c r="B151" s="58"/>
      <c r="C151" s="63"/>
      <c r="D151" s="60" t="s">
        <v>461</v>
      </c>
      <c r="E151" s="20" t="s">
        <v>462</v>
      </c>
      <c r="F151" s="21">
        <v>1</v>
      </c>
      <c r="G151" s="22" t="s">
        <v>19</v>
      </c>
      <c r="H151" s="40" t="str">
        <f t="shared" si="10"/>
        <v>157</v>
      </c>
      <c r="I151" s="37" t="s">
        <v>463</v>
      </c>
      <c r="J151" s="12">
        <f t="shared" si="9"/>
        <v>343</v>
      </c>
      <c r="K151" s="12" t="s">
        <v>21</v>
      </c>
      <c r="L151" s="12">
        <v>2</v>
      </c>
      <c r="M151" s="12">
        <v>1</v>
      </c>
      <c r="N151" s="12" t="s">
        <v>13</v>
      </c>
      <c r="O151" s="52"/>
      <c r="P151" s="71"/>
    </row>
    <row r="152" customFormat="1" ht="20.25" spans="1:16">
      <c r="A152" s="17"/>
      <c r="B152" s="62"/>
      <c r="C152" s="45"/>
      <c r="D152" s="60" t="s">
        <v>464</v>
      </c>
      <c r="E152" s="20" t="s">
        <v>465</v>
      </c>
      <c r="F152" s="21">
        <v>2</v>
      </c>
      <c r="G152" s="22" t="s">
        <v>19</v>
      </c>
      <c r="H152" s="40" t="str">
        <f t="shared" ref="H152:H167" si="11">DEC2HEX(J152)</f>
        <v>158</v>
      </c>
      <c r="I152" s="37" t="s">
        <v>466</v>
      </c>
      <c r="J152" s="12">
        <f t="shared" ref="J152:J167" si="12">F151+J151</f>
        <v>344</v>
      </c>
      <c r="K152" s="12" t="s">
        <v>21</v>
      </c>
      <c r="L152" s="12">
        <v>2</v>
      </c>
      <c r="M152" s="12">
        <v>1</v>
      </c>
      <c r="N152" s="12" t="s">
        <v>13</v>
      </c>
      <c r="O152" s="30"/>
      <c r="P152" s="70"/>
    </row>
    <row r="153" customFormat="1" ht="20.25" spans="1:16">
      <c r="A153" s="17"/>
      <c r="B153" s="62"/>
      <c r="C153" s="45"/>
      <c r="D153" s="60" t="s">
        <v>467</v>
      </c>
      <c r="E153" s="20" t="s">
        <v>468</v>
      </c>
      <c r="F153" s="21">
        <v>1</v>
      </c>
      <c r="G153" s="22" t="s">
        <v>19</v>
      </c>
      <c r="H153" s="40" t="str">
        <f t="shared" si="11"/>
        <v>15A</v>
      </c>
      <c r="I153" s="37" t="s">
        <v>469</v>
      </c>
      <c r="J153" s="12">
        <f t="shared" si="12"/>
        <v>346</v>
      </c>
      <c r="K153" s="12" t="s">
        <v>21</v>
      </c>
      <c r="L153" s="12">
        <v>2</v>
      </c>
      <c r="M153" s="12">
        <v>1</v>
      </c>
      <c r="N153" s="12" t="s">
        <v>13</v>
      </c>
      <c r="O153" s="30"/>
      <c r="P153" s="70"/>
    </row>
    <row r="154" customFormat="1" ht="20.25" spans="1:16">
      <c r="A154" s="17"/>
      <c r="B154" s="62"/>
      <c r="C154" s="45"/>
      <c r="D154" s="60" t="s">
        <v>470</v>
      </c>
      <c r="E154" s="20" t="s">
        <v>471</v>
      </c>
      <c r="F154" s="21">
        <v>1</v>
      </c>
      <c r="G154" s="22" t="s">
        <v>19</v>
      </c>
      <c r="H154" s="40" t="str">
        <f t="shared" si="11"/>
        <v>15B</v>
      </c>
      <c r="I154" s="37" t="s">
        <v>472</v>
      </c>
      <c r="J154" s="12">
        <f t="shared" si="12"/>
        <v>347</v>
      </c>
      <c r="K154" s="12" t="s">
        <v>21</v>
      </c>
      <c r="L154" s="12">
        <v>2</v>
      </c>
      <c r="M154" s="12">
        <v>1</v>
      </c>
      <c r="N154" s="12" t="s">
        <v>13</v>
      </c>
      <c r="O154" s="30"/>
      <c r="P154" s="70"/>
    </row>
    <row r="155" customFormat="1" ht="20.25" spans="1:16">
      <c r="A155" s="17"/>
      <c r="B155" s="62"/>
      <c r="C155" s="45"/>
      <c r="D155" s="60" t="s">
        <v>473</v>
      </c>
      <c r="E155" s="20" t="s">
        <v>474</v>
      </c>
      <c r="F155" s="21">
        <v>2</v>
      </c>
      <c r="G155" s="22" t="s">
        <v>19</v>
      </c>
      <c r="H155" s="40" t="str">
        <f t="shared" si="11"/>
        <v>15C</v>
      </c>
      <c r="I155" s="37" t="s">
        <v>475</v>
      </c>
      <c r="J155" s="12">
        <f t="shared" si="12"/>
        <v>348</v>
      </c>
      <c r="K155" s="12" t="s">
        <v>21</v>
      </c>
      <c r="L155" s="12">
        <v>2</v>
      </c>
      <c r="M155" s="12">
        <v>1</v>
      </c>
      <c r="N155" s="12" t="s">
        <v>13</v>
      </c>
      <c r="O155" s="30"/>
      <c r="P155" s="70"/>
    </row>
    <row r="156" customFormat="1" ht="20.25" spans="1:16">
      <c r="A156" s="17"/>
      <c r="B156" s="62"/>
      <c r="C156" s="45"/>
      <c r="D156" s="60" t="s">
        <v>476</v>
      </c>
      <c r="E156" s="20" t="s">
        <v>477</v>
      </c>
      <c r="F156" s="21">
        <v>1</v>
      </c>
      <c r="G156" s="22" t="s">
        <v>19</v>
      </c>
      <c r="H156" s="40" t="str">
        <f t="shared" si="11"/>
        <v>15E</v>
      </c>
      <c r="I156" s="37" t="s">
        <v>478</v>
      </c>
      <c r="J156" s="12">
        <f t="shared" si="12"/>
        <v>350</v>
      </c>
      <c r="K156" s="12" t="s">
        <v>21</v>
      </c>
      <c r="L156" s="12">
        <v>2</v>
      </c>
      <c r="M156" s="12">
        <v>1</v>
      </c>
      <c r="N156" s="12" t="s">
        <v>13</v>
      </c>
      <c r="O156" s="30"/>
      <c r="P156" s="70"/>
    </row>
    <row r="157" customFormat="1" ht="20.25" spans="1:16">
      <c r="A157" s="17"/>
      <c r="B157" s="62"/>
      <c r="C157" s="45"/>
      <c r="D157" s="60" t="s">
        <v>479</v>
      </c>
      <c r="E157" s="20" t="s">
        <v>480</v>
      </c>
      <c r="F157" s="21">
        <v>1</v>
      </c>
      <c r="G157" s="22" t="s">
        <v>19</v>
      </c>
      <c r="H157" s="40" t="str">
        <f t="shared" si="11"/>
        <v>15F</v>
      </c>
      <c r="I157" s="37" t="s">
        <v>481</v>
      </c>
      <c r="J157" s="12">
        <f t="shared" si="12"/>
        <v>351</v>
      </c>
      <c r="K157" s="12" t="s">
        <v>21</v>
      </c>
      <c r="L157" s="12">
        <v>2</v>
      </c>
      <c r="M157" s="12">
        <v>1</v>
      </c>
      <c r="N157" s="12" t="s">
        <v>13</v>
      </c>
      <c r="O157" s="30"/>
      <c r="P157" s="70"/>
    </row>
    <row r="158" customFormat="1" ht="20.25" spans="1:16">
      <c r="A158" s="17"/>
      <c r="B158" s="62"/>
      <c r="C158" s="45"/>
      <c r="D158" s="60" t="s">
        <v>482</v>
      </c>
      <c r="E158" s="20" t="s">
        <v>483</v>
      </c>
      <c r="F158" s="21">
        <v>2</v>
      </c>
      <c r="G158" s="22" t="s">
        <v>19</v>
      </c>
      <c r="H158" s="40" t="str">
        <f t="shared" si="11"/>
        <v>160</v>
      </c>
      <c r="I158" s="37" t="s">
        <v>484</v>
      </c>
      <c r="J158" s="12">
        <f t="shared" si="12"/>
        <v>352</v>
      </c>
      <c r="K158" s="12" t="s">
        <v>21</v>
      </c>
      <c r="L158" s="12">
        <v>2</v>
      </c>
      <c r="M158" s="12">
        <v>1</v>
      </c>
      <c r="N158" s="12" t="s">
        <v>13</v>
      </c>
      <c r="O158" s="30"/>
      <c r="P158" s="70"/>
    </row>
    <row r="159" customFormat="1" ht="20.25" spans="1:16">
      <c r="A159" s="17"/>
      <c r="B159" s="62"/>
      <c r="C159" s="45"/>
      <c r="D159" s="60" t="s">
        <v>485</v>
      </c>
      <c r="E159" s="20" t="s">
        <v>486</v>
      </c>
      <c r="F159" s="21">
        <v>1</v>
      </c>
      <c r="G159" s="22" t="s">
        <v>19</v>
      </c>
      <c r="H159" s="40" t="str">
        <f t="shared" si="11"/>
        <v>162</v>
      </c>
      <c r="I159" s="37" t="s">
        <v>487</v>
      </c>
      <c r="J159" s="12">
        <f t="shared" si="12"/>
        <v>354</v>
      </c>
      <c r="K159" s="12" t="s">
        <v>21</v>
      </c>
      <c r="L159" s="12">
        <v>2</v>
      </c>
      <c r="M159" s="12">
        <v>1</v>
      </c>
      <c r="N159" s="12" t="s">
        <v>13</v>
      </c>
      <c r="O159" s="30"/>
      <c r="P159" s="70"/>
    </row>
    <row r="160" customFormat="1" ht="20.25" spans="1:16">
      <c r="A160" s="17"/>
      <c r="B160" s="62"/>
      <c r="C160" s="45"/>
      <c r="D160" s="60" t="s">
        <v>488</v>
      </c>
      <c r="E160" s="20" t="s">
        <v>489</v>
      </c>
      <c r="F160" s="21">
        <v>1</v>
      </c>
      <c r="G160" s="22" t="s">
        <v>19</v>
      </c>
      <c r="H160" s="40" t="str">
        <f t="shared" si="11"/>
        <v>163</v>
      </c>
      <c r="I160" s="37" t="s">
        <v>490</v>
      </c>
      <c r="J160" s="12">
        <f t="shared" si="12"/>
        <v>355</v>
      </c>
      <c r="K160" s="12" t="s">
        <v>21</v>
      </c>
      <c r="L160" s="12">
        <v>2</v>
      </c>
      <c r="M160" s="12">
        <v>1</v>
      </c>
      <c r="N160" s="12" t="s">
        <v>13</v>
      </c>
      <c r="O160" s="30"/>
      <c r="P160" s="70"/>
    </row>
    <row r="161" customFormat="1" ht="20.25" spans="1:16">
      <c r="A161" s="17"/>
      <c r="B161" s="62"/>
      <c r="C161" s="45"/>
      <c r="D161" s="60" t="s">
        <v>491</v>
      </c>
      <c r="E161" s="20" t="s">
        <v>492</v>
      </c>
      <c r="F161" s="21">
        <v>2</v>
      </c>
      <c r="G161" s="22" t="s">
        <v>19</v>
      </c>
      <c r="H161" s="40" t="str">
        <f t="shared" si="11"/>
        <v>164</v>
      </c>
      <c r="I161" s="37" t="s">
        <v>493</v>
      </c>
      <c r="J161" s="12">
        <f t="shared" si="12"/>
        <v>356</v>
      </c>
      <c r="K161" s="12" t="s">
        <v>21</v>
      </c>
      <c r="L161" s="12">
        <v>2</v>
      </c>
      <c r="M161" s="12">
        <v>1</v>
      </c>
      <c r="N161" s="12" t="s">
        <v>13</v>
      </c>
      <c r="O161" s="30"/>
      <c r="P161" s="70"/>
    </row>
    <row r="162" customFormat="1" ht="20.25" spans="1:16">
      <c r="A162" s="17"/>
      <c r="B162" s="62"/>
      <c r="C162" s="45"/>
      <c r="D162" s="60" t="s">
        <v>494</v>
      </c>
      <c r="E162" s="20" t="s">
        <v>495</v>
      </c>
      <c r="F162" s="21">
        <v>1</v>
      </c>
      <c r="G162" s="22" t="s">
        <v>19</v>
      </c>
      <c r="H162" s="40" t="str">
        <f t="shared" si="11"/>
        <v>166</v>
      </c>
      <c r="I162" s="37" t="s">
        <v>496</v>
      </c>
      <c r="J162" s="12">
        <f t="shared" si="12"/>
        <v>358</v>
      </c>
      <c r="K162" s="12" t="s">
        <v>21</v>
      </c>
      <c r="L162" s="12">
        <v>2</v>
      </c>
      <c r="M162" s="12">
        <v>1</v>
      </c>
      <c r="N162" s="12" t="s">
        <v>13</v>
      </c>
      <c r="O162" s="30"/>
      <c r="P162" s="70"/>
    </row>
    <row r="163" customFormat="1" ht="20.25" spans="1:16">
      <c r="A163" s="17"/>
      <c r="B163" s="62"/>
      <c r="C163" s="45"/>
      <c r="D163" s="60" t="s">
        <v>497</v>
      </c>
      <c r="E163" s="20" t="s">
        <v>498</v>
      </c>
      <c r="F163" s="21">
        <v>1</v>
      </c>
      <c r="G163" s="22" t="s">
        <v>19</v>
      </c>
      <c r="H163" s="40" t="str">
        <f t="shared" si="11"/>
        <v>167</v>
      </c>
      <c r="I163" s="37" t="s">
        <v>499</v>
      </c>
      <c r="J163" s="12">
        <f t="shared" si="12"/>
        <v>359</v>
      </c>
      <c r="K163" s="12" t="s">
        <v>21</v>
      </c>
      <c r="L163" s="12">
        <v>2</v>
      </c>
      <c r="M163" s="12">
        <v>1</v>
      </c>
      <c r="N163" s="12" t="s">
        <v>13</v>
      </c>
      <c r="O163" s="30"/>
      <c r="P163" s="70"/>
    </row>
    <row r="164" customFormat="1" ht="20.25" spans="1:16">
      <c r="A164" s="17"/>
      <c r="B164" s="62"/>
      <c r="C164" s="45"/>
      <c r="D164" s="60" t="s">
        <v>500</v>
      </c>
      <c r="E164" s="20" t="s">
        <v>501</v>
      </c>
      <c r="F164" s="21">
        <v>4</v>
      </c>
      <c r="G164" s="22" t="s">
        <v>19</v>
      </c>
      <c r="H164" s="40" t="str">
        <f t="shared" si="11"/>
        <v>168</v>
      </c>
      <c r="I164" s="37" t="s">
        <v>502</v>
      </c>
      <c r="J164" s="12">
        <f t="shared" si="12"/>
        <v>360</v>
      </c>
      <c r="K164" s="12" t="s">
        <v>21</v>
      </c>
      <c r="L164" s="12">
        <v>2</v>
      </c>
      <c r="M164" s="12">
        <v>1</v>
      </c>
      <c r="N164" s="12" t="s">
        <v>13</v>
      </c>
      <c r="O164" s="30"/>
      <c r="P164" s="70"/>
    </row>
    <row r="165" customFormat="1" ht="20.25" spans="1:16">
      <c r="A165" s="17"/>
      <c r="B165" s="62"/>
      <c r="C165" s="45"/>
      <c r="D165" s="60" t="s">
        <v>503</v>
      </c>
      <c r="E165" s="20" t="s">
        <v>504</v>
      </c>
      <c r="F165" s="21">
        <v>4</v>
      </c>
      <c r="G165" s="22" t="s">
        <v>19</v>
      </c>
      <c r="H165" s="40" t="str">
        <f t="shared" si="11"/>
        <v>16C</v>
      </c>
      <c r="I165" s="37" t="s">
        <v>505</v>
      </c>
      <c r="J165" s="12">
        <f t="shared" si="12"/>
        <v>364</v>
      </c>
      <c r="K165" s="12" t="s">
        <v>21</v>
      </c>
      <c r="L165" s="12">
        <v>2</v>
      </c>
      <c r="M165" s="12">
        <v>1</v>
      </c>
      <c r="N165" s="12" t="s">
        <v>13</v>
      </c>
      <c r="O165" s="30"/>
      <c r="P165" s="70"/>
    </row>
    <row r="166" customFormat="1" ht="20.25" spans="1:16">
      <c r="A166" s="17"/>
      <c r="B166" s="62"/>
      <c r="C166" s="45"/>
      <c r="D166" s="60" t="s">
        <v>506</v>
      </c>
      <c r="E166" s="20" t="s">
        <v>507</v>
      </c>
      <c r="F166" s="21">
        <v>4</v>
      </c>
      <c r="G166" s="22" t="s">
        <v>19</v>
      </c>
      <c r="H166" s="40" t="str">
        <f t="shared" si="11"/>
        <v>170</v>
      </c>
      <c r="I166" s="37" t="s">
        <v>508</v>
      </c>
      <c r="J166" s="12">
        <f t="shared" si="12"/>
        <v>368</v>
      </c>
      <c r="K166" s="12" t="s">
        <v>21</v>
      </c>
      <c r="L166" s="12">
        <v>2</v>
      </c>
      <c r="M166" s="12">
        <v>1</v>
      </c>
      <c r="N166" s="12" t="s">
        <v>13</v>
      </c>
      <c r="O166" s="30"/>
      <c r="P166" s="70"/>
    </row>
    <row r="167" customFormat="1" ht="20.25" spans="1:16">
      <c r="A167" s="17"/>
      <c r="B167" s="62"/>
      <c r="C167" s="45"/>
      <c r="D167" s="60" t="s">
        <v>509</v>
      </c>
      <c r="E167" s="20" t="s">
        <v>510</v>
      </c>
      <c r="F167" s="21">
        <v>4</v>
      </c>
      <c r="G167" s="22" t="s">
        <v>19</v>
      </c>
      <c r="H167" s="40" t="str">
        <f t="shared" si="11"/>
        <v>174</v>
      </c>
      <c r="I167" s="37" t="s">
        <v>511</v>
      </c>
      <c r="J167" s="12">
        <f t="shared" si="12"/>
        <v>372</v>
      </c>
      <c r="K167" s="12" t="s">
        <v>21</v>
      </c>
      <c r="L167" s="12">
        <v>2</v>
      </c>
      <c r="M167" s="12">
        <v>1</v>
      </c>
      <c r="N167" s="12" t="s">
        <v>13</v>
      </c>
      <c r="O167" s="30"/>
      <c r="P167" s="70"/>
    </row>
    <row r="168" customFormat="1" ht="20.25" spans="1:16">
      <c r="A168" s="17"/>
      <c r="B168" s="62"/>
      <c r="C168" s="45"/>
      <c r="D168" s="60" t="s">
        <v>512</v>
      </c>
      <c r="E168" s="20" t="s">
        <v>513</v>
      </c>
      <c r="F168" s="21">
        <v>1</v>
      </c>
      <c r="G168" s="22" t="s">
        <v>19</v>
      </c>
      <c r="H168" s="40" t="str">
        <f t="shared" ref="H168:H173" si="13">DEC2HEX(J168)</f>
        <v>178</v>
      </c>
      <c r="I168" s="37" t="s">
        <v>496</v>
      </c>
      <c r="J168" s="12">
        <f t="shared" ref="J168:J173" si="14">F167+J167</f>
        <v>376</v>
      </c>
      <c r="K168" s="12" t="s">
        <v>21</v>
      </c>
      <c r="L168" s="12">
        <v>2</v>
      </c>
      <c r="M168" s="12">
        <v>1</v>
      </c>
      <c r="N168" s="12" t="s">
        <v>13</v>
      </c>
      <c r="O168" s="47" t="s">
        <v>514</v>
      </c>
      <c r="P168" s="70"/>
    </row>
    <row r="169" customFormat="1" ht="20.25" spans="1:16">
      <c r="A169" s="17"/>
      <c r="B169" s="62"/>
      <c r="C169" s="45"/>
      <c r="D169" s="60" t="s">
        <v>515</v>
      </c>
      <c r="E169" s="20" t="s">
        <v>516</v>
      </c>
      <c r="F169" s="21">
        <v>1</v>
      </c>
      <c r="G169" s="22" t="s">
        <v>19</v>
      </c>
      <c r="H169" s="40" t="str">
        <f t="shared" si="13"/>
        <v>179</v>
      </c>
      <c r="I169" s="37" t="s">
        <v>499</v>
      </c>
      <c r="J169" s="12">
        <f t="shared" si="14"/>
        <v>377</v>
      </c>
      <c r="K169" s="12" t="s">
        <v>21</v>
      </c>
      <c r="L169" s="12">
        <v>2</v>
      </c>
      <c r="M169" s="12">
        <v>1</v>
      </c>
      <c r="N169" s="12" t="s">
        <v>13</v>
      </c>
      <c r="O169" s="49"/>
      <c r="P169" s="70"/>
    </row>
    <row r="170" customFormat="1" ht="20.25" spans="1:16">
      <c r="A170" s="17"/>
      <c r="B170" s="62"/>
      <c r="C170" s="45"/>
      <c r="D170" s="60" t="s">
        <v>517</v>
      </c>
      <c r="E170" s="20" t="s">
        <v>518</v>
      </c>
      <c r="F170" s="21">
        <v>1</v>
      </c>
      <c r="G170" s="22" t="s">
        <v>19</v>
      </c>
      <c r="H170" s="40" t="str">
        <f t="shared" si="13"/>
        <v>17A</v>
      </c>
      <c r="I170" s="37" t="s">
        <v>502</v>
      </c>
      <c r="J170" s="12">
        <f t="shared" si="14"/>
        <v>378</v>
      </c>
      <c r="K170" s="12" t="s">
        <v>21</v>
      </c>
      <c r="L170" s="12">
        <v>2</v>
      </c>
      <c r="M170" s="12">
        <v>1</v>
      </c>
      <c r="N170" s="12" t="s">
        <v>13</v>
      </c>
      <c r="O170" s="49"/>
      <c r="P170" s="70"/>
    </row>
    <row r="171" customFormat="1" ht="20.25" spans="1:16">
      <c r="A171" s="17"/>
      <c r="B171" s="62"/>
      <c r="C171" s="45"/>
      <c r="D171" s="60" t="s">
        <v>519</v>
      </c>
      <c r="E171" s="20" t="s">
        <v>520</v>
      </c>
      <c r="F171" s="21">
        <v>1</v>
      </c>
      <c r="G171" s="22" t="s">
        <v>19</v>
      </c>
      <c r="H171" s="40" t="str">
        <f t="shared" si="13"/>
        <v>17B</v>
      </c>
      <c r="I171" s="37" t="s">
        <v>505</v>
      </c>
      <c r="J171" s="12">
        <f t="shared" si="14"/>
        <v>379</v>
      </c>
      <c r="K171" s="12" t="s">
        <v>21</v>
      </c>
      <c r="L171" s="12">
        <v>2</v>
      </c>
      <c r="M171" s="12">
        <v>1</v>
      </c>
      <c r="N171" s="12" t="s">
        <v>13</v>
      </c>
      <c r="O171" s="49"/>
      <c r="P171" s="70"/>
    </row>
    <row r="172" customFormat="1" ht="20.25" spans="1:16">
      <c r="A172" s="17"/>
      <c r="B172" s="62"/>
      <c r="C172" s="45"/>
      <c r="D172" s="60" t="s">
        <v>521</v>
      </c>
      <c r="E172" s="20" t="s">
        <v>522</v>
      </c>
      <c r="F172" s="21">
        <v>2</v>
      </c>
      <c r="G172" s="22" t="s">
        <v>19</v>
      </c>
      <c r="H172" s="40" t="str">
        <f t="shared" si="13"/>
        <v>17C</v>
      </c>
      <c r="I172" s="37" t="s">
        <v>508</v>
      </c>
      <c r="J172" s="12">
        <f t="shared" si="14"/>
        <v>380</v>
      </c>
      <c r="K172" s="12" t="s">
        <v>21</v>
      </c>
      <c r="L172" s="12">
        <v>2</v>
      </c>
      <c r="M172" s="12">
        <v>1</v>
      </c>
      <c r="N172" s="12" t="s">
        <v>13</v>
      </c>
      <c r="O172" s="50"/>
      <c r="P172" s="70"/>
    </row>
    <row r="173" customFormat="1" ht="20.25" spans="1:16">
      <c r="A173" s="17"/>
      <c r="B173" s="62"/>
      <c r="C173" s="45"/>
      <c r="D173" s="57" t="s">
        <v>172</v>
      </c>
      <c r="E173" s="64" t="s">
        <v>172</v>
      </c>
      <c r="F173" s="26">
        <v>130</v>
      </c>
      <c r="G173" s="22" t="s">
        <v>19</v>
      </c>
      <c r="H173" s="27" t="str">
        <f t="shared" si="13"/>
        <v>17E</v>
      </c>
      <c r="I173" s="33"/>
      <c r="J173" s="34">
        <f t="shared" si="14"/>
        <v>382</v>
      </c>
      <c r="K173" s="12" t="s">
        <v>21</v>
      </c>
      <c r="L173" s="12">
        <v>2</v>
      </c>
      <c r="M173" s="12">
        <v>1</v>
      </c>
      <c r="N173" s="12" t="s">
        <v>13</v>
      </c>
      <c r="O173" s="32"/>
      <c r="P173" s="70"/>
    </row>
    <row r="174" customFormat="1" ht="20.25" spans="1:17">
      <c r="A174" s="17"/>
      <c r="B174" s="62"/>
      <c r="C174" s="54"/>
      <c r="D174" s="65" t="s">
        <v>523</v>
      </c>
      <c r="E174" s="65"/>
      <c r="F174" s="66"/>
      <c r="G174" s="66"/>
      <c r="H174" s="66"/>
      <c r="I174" s="65"/>
      <c r="J174" s="72"/>
      <c r="K174" s="12"/>
      <c r="L174" s="12"/>
      <c r="M174" s="12"/>
      <c r="N174" s="12"/>
      <c r="O174" s="12">
        <f>SUM(F173,J173)</f>
        <v>512</v>
      </c>
      <c r="P174" s="30"/>
      <c r="Q174" s="70"/>
    </row>
    <row r="175" ht="16.5" spans="17:17">
      <c r="Q175" s="71"/>
    </row>
    <row r="176" ht="16.5" spans="6:6">
      <c r="F176" s="67"/>
    </row>
  </sheetData>
  <mergeCells count="23">
    <mergeCell ref="A1:P1"/>
    <mergeCell ref="D174:J174"/>
    <mergeCell ref="A3:A132"/>
    <mergeCell ref="A133:A174"/>
    <mergeCell ref="B3:B50"/>
    <mergeCell ref="B51:B81"/>
    <mergeCell ref="B82:B113"/>
    <mergeCell ref="B114:B126"/>
    <mergeCell ref="B127:B132"/>
    <mergeCell ref="B133:B143"/>
    <mergeCell ref="B144:B174"/>
    <mergeCell ref="C3:C50"/>
    <mergeCell ref="C51:C81"/>
    <mergeCell ref="C82:C113"/>
    <mergeCell ref="C114:C126"/>
    <mergeCell ref="C127:C132"/>
    <mergeCell ref="C133:C143"/>
    <mergeCell ref="C144:C174"/>
    <mergeCell ref="O99:O102"/>
    <mergeCell ref="O168:O172"/>
    <mergeCell ref="P99:P102"/>
    <mergeCell ref="P144:P145"/>
    <mergeCell ref="P146:P14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Test-Team</cp:lastModifiedBy>
  <dcterms:created xsi:type="dcterms:W3CDTF">2023-05-12T11:15:00Z</dcterms:created>
  <dcterms:modified xsi:type="dcterms:W3CDTF">2024-01-30T06:03:04Z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2052-12.1.0.16250</vt:lpwstr>
  </property>
  <property fmtid="{D5CDD505-2E9C-101B-9397-08002B2CF9AE}" pid="4" name="KSOReadingLayout">
    <vt:bool>true</vt:bool>
  </property>
</Properties>
</file>